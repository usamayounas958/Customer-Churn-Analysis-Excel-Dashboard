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Data Analytics Projects\customer-churn-analysis\"/>
    </mc:Choice>
  </mc:AlternateContent>
  <xr:revisionPtr revIDLastSave="0" documentId="13_ncr:1_{56795714-1DB3-45BE-9256-0B5EC236082C}" xr6:coauthVersionLast="47" xr6:coauthVersionMax="47" xr10:uidLastSave="{00000000-0000-0000-0000-000000000000}"/>
  <bookViews>
    <workbookView xWindow="-108" yWindow="-108" windowWidth="23256" windowHeight="12576" activeTab="2" xr2:uid="{5C3429FC-3CD4-4D41-9B16-35BA3A5BC9E6}"/>
  </bookViews>
  <sheets>
    <sheet name="Clean_data" sheetId="2" r:id="rId1"/>
    <sheet name="Dasboard" sheetId="4" r:id="rId2"/>
    <sheet name="Business_Questions" sheetId="5" r:id="rId3"/>
    <sheet name="Raw_Data" sheetId="3" r:id="rId4"/>
  </sheets>
  <definedNames>
    <definedName name="ExternalData_1" localSheetId="0" hidden="1">Clean_data!$A$1:$K$21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4" l="1" a="1"/>
  <c r="B39" i="4" s="1"/>
  <c r="H24" i="2"/>
  <c r="F24" i="2"/>
  <c r="A24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L2" i="2"/>
  <c r="N2" i="2" s="1"/>
  <c r="L3" i="2"/>
  <c r="N3" i="2" s="1"/>
  <c r="L4" i="2"/>
  <c r="N4" i="2" s="1"/>
  <c r="L5" i="2"/>
  <c r="N5" i="2" s="1"/>
  <c r="L6" i="2"/>
  <c r="N6" i="2" s="1"/>
  <c r="L7" i="2"/>
  <c r="N7" i="2" s="1"/>
  <c r="L8" i="2"/>
  <c r="N8" i="2" s="1"/>
  <c r="L9" i="2"/>
  <c r="N9" i="2" s="1"/>
  <c r="L10" i="2"/>
  <c r="N10" i="2" s="1"/>
  <c r="L11" i="2"/>
  <c r="N11" i="2" s="1"/>
  <c r="L12" i="2"/>
  <c r="N12" i="2" s="1"/>
  <c r="L13" i="2"/>
  <c r="N13" i="2" s="1"/>
  <c r="L14" i="2"/>
  <c r="N14" i="2" s="1"/>
  <c r="L15" i="2"/>
  <c r="N15" i="2" s="1"/>
  <c r="L16" i="2"/>
  <c r="N16" i="2" s="1"/>
  <c r="L17" i="2"/>
  <c r="N17" i="2" s="1"/>
  <c r="L18" i="2"/>
  <c r="N18" i="2" s="1"/>
  <c r="L19" i="2"/>
  <c r="N19" i="2" s="1"/>
  <c r="L20" i="2"/>
  <c r="N20" i="2" s="1"/>
  <c r="L21" i="2"/>
  <c r="N21" i="2" s="1"/>
  <c r="O10" i="2" l="1"/>
  <c r="O7" i="2"/>
  <c r="O21" i="2"/>
  <c r="O20" i="2"/>
  <c r="O11" i="2"/>
  <c r="O9" i="2"/>
  <c r="O8" i="2"/>
  <c r="O5" i="2"/>
  <c r="O19" i="2"/>
  <c r="O17" i="2"/>
  <c r="O4" i="2"/>
  <c r="O13" i="2"/>
  <c r="O12" i="2"/>
  <c r="O18" i="2"/>
  <c r="O6" i="2"/>
  <c r="O16" i="2"/>
  <c r="O15" i="2"/>
  <c r="O3" i="2"/>
  <c r="O14" i="2"/>
  <c r="O2" i="2"/>
  <c r="G24" i="2"/>
  <c r="H39" i="4" s="1" a="1"/>
  <c r="H39" i="4" s="1"/>
  <c r="C24" i="2"/>
  <c r="D24" i="2" s="1"/>
  <c r="D39" i="4" s="1" a="1"/>
  <c r="D39" i="4" s="1"/>
  <c r="B24" i="2"/>
  <c r="E24" i="2" s="1"/>
  <c r="F39" i="4" s="1" a="1"/>
  <c r="F39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BEEBBA-5B0A-4494-A175-239D787A4A05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<sst xmlns="http://schemas.openxmlformats.org/spreadsheetml/2006/main" count="318" uniqueCount="98">
  <si>
    <t>Customer_ID</t>
  </si>
  <si>
    <t>Customer_Name</t>
  </si>
  <si>
    <t>Join_Date</t>
  </si>
  <si>
    <t>Last_Purchase_Date</t>
  </si>
  <si>
    <t>Region</t>
  </si>
  <si>
    <t>Segment</t>
  </si>
  <si>
    <t>Subscription_Type</t>
  </si>
  <si>
    <t>Total_Orders</t>
  </si>
  <si>
    <t>Total_Revenue</t>
  </si>
  <si>
    <t>Support_Tickets</t>
  </si>
  <si>
    <t>Is_Active</t>
  </si>
  <si>
    <t>C001</t>
  </si>
  <si>
    <t>Ali Khan</t>
  </si>
  <si>
    <t>West</t>
  </si>
  <si>
    <t>Consumer</t>
  </si>
  <si>
    <t>Monthly</t>
  </si>
  <si>
    <t>Yes</t>
  </si>
  <si>
    <t>C002</t>
  </si>
  <si>
    <t>Sara Ahmed</t>
  </si>
  <si>
    <t>East</t>
  </si>
  <si>
    <t>Corporate</t>
  </si>
  <si>
    <t>Annual</t>
  </si>
  <si>
    <t>C003</t>
  </si>
  <si>
    <t>Usman Raza</t>
  </si>
  <si>
    <t>South</t>
  </si>
  <si>
    <t>Small Business</t>
  </si>
  <si>
    <t>No</t>
  </si>
  <si>
    <t>C004</t>
  </si>
  <si>
    <t>Ayesha Malik</t>
  </si>
  <si>
    <t>North</t>
  </si>
  <si>
    <t>Quarterly</t>
  </si>
  <si>
    <t>C005</t>
  </si>
  <si>
    <t>Bilal Hussain</t>
  </si>
  <si>
    <t>C006</t>
  </si>
  <si>
    <t>Hina Shah</t>
  </si>
  <si>
    <t>C007</t>
  </si>
  <si>
    <t>Ahmed Noor</t>
  </si>
  <si>
    <t>C008</t>
  </si>
  <si>
    <t>Mariam Iqbal</t>
  </si>
  <si>
    <t>C009</t>
  </si>
  <si>
    <t>Farhan Ali</t>
  </si>
  <si>
    <t>C010</t>
  </si>
  <si>
    <t>Zara Sheikh</t>
  </si>
  <si>
    <t>C011</t>
  </si>
  <si>
    <t>Saad Yousaf</t>
  </si>
  <si>
    <t>C012</t>
  </si>
  <si>
    <t>Noor Fatima</t>
  </si>
  <si>
    <t>C013</t>
  </si>
  <si>
    <t>Imran Qureshi</t>
  </si>
  <si>
    <t>C014</t>
  </si>
  <si>
    <t>Sana Arif</t>
  </si>
  <si>
    <t>C015</t>
  </si>
  <si>
    <t>Kamran Latif</t>
  </si>
  <si>
    <t>C016</t>
  </si>
  <si>
    <t>Rabia Tariq</t>
  </si>
  <si>
    <t>C017</t>
  </si>
  <si>
    <t>Shahbaz Ali</t>
  </si>
  <si>
    <t>C018</t>
  </si>
  <si>
    <t>Nida Hussain</t>
  </si>
  <si>
    <t>C019</t>
  </si>
  <si>
    <t>Omar Siddiqui</t>
  </si>
  <si>
    <t>C020</t>
  </si>
  <si>
    <t>Anum Riaz</t>
  </si>
  <si>
    <t>Days_Since_Last_Purchase</t>
  </si>
  <si>
    <t>Customer Tenure</t>
  </si>
  <si>
    <t>Churn Status</t>
  </si>
  <si>
    <t>High Risk Flag</t>
  </si>
  <si>
    <t>Total Customer</t>
  </si>
  <si>
    <t>Active Customers</t>
  </si>
  <si>
    <t>Churned Customers</t>
  </si>
  <si>
    <t>Churn Rate %</t>
  </si>
  <si>
    <t>Retention Rate %</t>
  </si>
  <si>
    <t>Total Revenue</t>
  </si>
  <si>
    <t>Revenue Lost Due to Churn</t>
  </si>
  <si>
    <t>Average Revenue per Customer (ARPC)</t>
  </si>
  <si>
    <t>Grand Total</t>
  </si>
  <si>
    <t>Churned</t>
  </si>
  <si>
    <t>Count of Churn Status</t>
  </si>
  <si>
    <t>(All)</t>
  </si>
  <si>
    <t>Regions</t>
  </si>
  <si>
    <t>Jul</t>
  </si>
  <si>
    <t>Aug</t>
  </si>
  <si>
    <t>Sep</t>
  </si>
  <si>
    <t>Oct</t>
  </si>
  <si>
    <t>Dec</t>
  </si>
  <si>
    <t>Jan</t>
  </si>
  <si>
    <t>Feb</t>
  </si>
  <si>
    <t>Mar</t>
  </si>
  <si>
    <t>Apr</t>
  </si>
  <si>
    <t>May</t>
  </si>
  <si>
    <t>Nov</t>
  </si>
  <si>
    <t>Sum of Total_Revenue</t>
  </si>
  <si>
    <t>Segments</t>
  </si>
  <si>
    <t>Months</t>
  </si>
  <si>
    <t>Count of Customer_ID</t>
  </si>
  <si>
    <t>CUSTOMER CHURN ANALYSIS</t>
  </si>
  <si>
    <t>Business Questions</t>
  </si>
  <si>
    <r>
      <rPr>
        <b/>
        <sz val="11"/>
        <color theme="1"/>
        <rFont val="Calibri"/>
        <family val="2"/>
        <scheme val="minor"/>
      </rPr>
      <t>1. What is the overall churn rate?</t>
    </r>
    <r>
      <rPr>
        <sz val="11"/>
        <color theme="1"/>
        <rFont val="Calibri"/>
        <family val="2"/>
        <scheme val="minor"/>
      </rPr>
      <t xml:space="preserve">
Ans. Overall churn rate is </t>
    </r>
    <r>
      <rPr>
        <b/>
        <sz val="11"/>
        <color theme="1"/>
        <rFont val="Calibri"/>
        <family val="2"/>
        <scheme val="minor"/>
      </rPr>
      <t>50%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2. Which region has the highest churn?</t>
    </r>
    <r>
      <rPr>
        <sz val="11"/>
        <color theme="1"/>
        <rFont val="Calibri"/>
        <family val="2"/>
        <scheme val="minor"/>
      </rPr>
      <t xml:space="preserve">
Ans. </t>
    </r>
    <r>
      <rPr>
        <b/>
        <sz val="11"/>
        <color theme="1"/>
        <rFont val="Calibri"/>
        <family val="2"/>
        <scheme val="minor"/>
      </rPr>
      <t>East Region</t>
    </r>
    <r>
      <rPr>
        <sz val="11"/>
        <color theme="1"/>
        <rFont val="Calibri"/>
        <family val="2"/>
        <scheme val="minor"/>
      </rPr>
      <t xml:space="preserve"> has the highest churn.
</t>
    </r>
    <r>
      <rPr>
        <b/>
        <sz val="11"/>
        <color theme="1"/>
        <rFont val="Calibri"/>
        <family val="2"/>
        <scheme val="minor"/>
      </rPr>
      <t>3. Which customer segment is most at risk?</t>
    </r>
    <r>
      <rPr>
        <sz val="11"/>
        <color theme="1"/>
        <rFont val="Calibri"/>
        <family val="2"/>
        <scheme val="minor"/>
      </rPr>
      <t xml:space="preserve">
Ans. </t>
    </r>
    <r>
      <rPr>
        <b/>
        <sz val="11"/>
        <color theme="1"/>
        <rFont val="Calibri"/>
        <family val="2"/>
        <scheme val="minor"/>
      </rPr>
      <t>Small Business</t>
    </r>
    <r>
      <rPr>
        <sz val="11"/>
        <color theme="1"/>
        <rFont val="Calibri"/>
        <family val="2"/>
        <scheme val="minor"/>
      </rPr>
      <t xml:space="preserve"> segment is most at risk.
</t>
    </r>
    <r>
      <rPr>
        <b/>
        <sz val="11"/>
        <color theme="1"/>
        <rFont val="Calibri"/>
        <family val="2"/>
        <scheme val="minor"/>
      </rPr>
      <t>4. How much revenue is lost due to churn?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$2,054,000</t>
    </r>
    <r>
      <rPr>
        <sz val="11"/>
        <color theme="1"/>
        <rFont val="Calibri"/>
        <family val="2"/>
        <scheme val="minor"/>
      </rPr>
      <t xml:space="preserve"> is lost due to churn.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</si>
</sst>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;[Red]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9" fontId="0" fillId="0" borderId="1" xfId="0" applyNumberFormat="1" applyBorder="1"/>
    <xf numFmtId="0" fontId="1" fillId="0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15">
    <dxf>
      <numFmt numFmtId="164" formatCode="&quot;$&quot;#,##0"/>
    </dxf>
    <dxf>
      <numFmt numFmtId="13" formatCode="0%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Analysis.xlsx]Clean_data!PivotTable1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Status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Clean_data!$B$27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Clean_data!$A$28:$A$32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Clean_data!$B$28:$B$32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7-4307-94EC-172CE870DC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33520"/>
        <c:axId val="13236432"/>
      </c:barChart>
      <c:catAx>
        <c:axId val="1323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6432"/>
        <c:crosses val="autoZero"/>
        <c:auto val="1"/>
        <c:lblAlgn val="ctr"/>
        <c:lblOffset val="100"/>
        <c:noMultiLvlLbl val="0"/>
      </c:catAx>
      <c:valAx>
        <c:axId val="132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Analysis.xlsx]Clean_data!PivotTable2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Status</a:t>
            </a:r>
            <a:r>
              <a:rPr lang="en-US" b="1" baseline="0"/>
              <a:t> By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Clean_data!$E$27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Clean_data!$D$28:$D$31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Clean_data!$E$28:$E$31</c:f>
              <c:numCache>
                <c:formatCode>0%</c:formatCode>
                <c:ptCount val="3"/>
                <c:pt idx="0">
                  <c:v>0.3</c:v>
                </c:pt>
                <c:pt idx="1">
                  <c:v>0.3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3-49D1-ABB8-8CA22F2B2D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4226480"/>
        <c:axId val="84215664"/>
      </c:barChart>
      <c:catAx>
        <c:axId val="84226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5664"/>
        <c:crosses val="autoZero"/>
        <c:auto val="1"/>
        <c:lblAlgn val="ctr"/>
        <c:lblOffset val="100"/>
        <c:noMultiLvlLbl val="0"/>
      </c:catAx>
      <c:valAx>
        <c:axId val="8421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Analysis.xlsx]Clean_data!PivotTable3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Loss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Clean_data!$H$27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Clean_data!$G$28:$G$31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Clean_data!$H$28:$H$31</c:f>
              <c:numCache>
                <c:formatCode>"$"#,##0</c:formatCode>
                <c:ptCount val="3"/>
                <c:pt idx="0">
                  <c:v>557000</c:v>
                </c:pt>
                <c:pt idx="1">
                  <c:v>1135000</c:v>
                </c:pt>
                <c:pt idx="2">
                  <c:v>362000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4-44A1-B985-FE21BC9E2E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409328"/>
        <c:axId val="86415152"/>
      </c:barChart>
      <c:catAx>
        <c:axId val="8640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15152"/>
        <c:crosses val="autoZero"/>
        <c:auto val="1"/>
        <c:lblAlgn val="ctr"/>
        <c:lblOffset val="100"/>
        <c:noMultiLvlLbl val="0"/>
      </c:catAx>
      <c:valAx>
        <c:axId val="8641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Analysis.xlsx]Clean_data!PivotTable4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Churn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Clean_data!$D$36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Clean_data!$C$37:$C$48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Clean_data!$D$37:$D$48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D-4349-94E7-F1A55CF36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7904"/>
        <c:axId val="13272480"/>
      </c:lineChart>
      <c:catAx>
        <c:axId val="132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2480"/>
        <c:crosses val="autoZero"/>
        <c:auto val="1"/>
        <c:lblAlgn val="ctr"/>
        <c:lblOffset val="100"/>
        <c:noMultiLvlLbl val="0"/>
      </c:catAx>
      <c:valAx>
        <c:axId val="132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114300</xdr:rowOff>
    </xdr:from>
    <xdr:to>
      <xdr:col>9</xdr:col>
      <xdr:colOff>83820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FD6C2-3C68-4C3E-BF5D-9C943C294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3</xdr:row>
      <xdr:rowOff>15240</xdr:rowOff>
    </xdr:from>
    <xdr:to>
      <xdr:col>4</xdr:col>
      <xdr:colOff>0</xdr:colOff>
      <xdr:row>8</xdr:row>
      <xdr:rowOff>15240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86AE37D-2585-4E25-9DF5-59EF29FA564B}"/>
            </a:ext>
          </a:extLst>
        </xdr:cNvPr>
        <xdr:cNvSpPr/>
      </xdr:nvSpPr>
      <xdr:spPr>
        <a:xfrm>
          <a:off x="83820" y="472440"/>
          <a:ext cx="1821180" cy="9144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Customer:</a:t>
          </a:r>
          <a:r>
            <a:rPr lang="en-US" b="1">
              <a:solidFill>
                <a:schemeClr val="tx1"/>
              </a:solidFill>
            </a:rPr>
            <a:t> </a:t>
          </a:r>
        </a:p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 b="1">
              <a:solidFill>
                <a:schemeClr val="tx1"/>
              </a:solidFill>
            </a:rPr>
            <a:t>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403860</xdr:colOff>
      <xdr:row>3</xdr:row>
      <xdr:rowOff>15240</xdr:rowOff>
    </xdr:from>
    <xdr:to>
      <xdr:col>8</xdr:col>
      <xdr:colOff>114300</xdr:colOff>
      <xdr:row>8</xdr:row>
      <xdr:rowOff>15240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60F7FE4-EF8E-4712-8AF6-277BB5A865FF}"/>
            </a:ext>
          </a:extLst>
        </xdr:cNvPr>
        <xdr:cNvSpPr/>
      </xdr:nvSpPr>
      <xdr:spPr>
        <a:xfrm>
          <a:off x="2918460" y="472440"/>
          <a:ext cx="1821180" cy="9144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Churn Rate %:</a:t>
          </a:r>
          <a:r>
            <a:rPr lang="en-US" b="1">
              <a:solidFill>
                <a:schemeClr val="tx1"/>
              </a:solidFill>
            </a:rPr>
            <a:t> </a:t>
          </a:r>
        </a:p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50%</a:t>
          </a:r>
          <a:r>
            <a:rPr lang="en-US" b="1">
              <a:solidFill>
                <a:schemeClr val="tx1"/>
              </a:solidFill>
            </a:rPr>
            <a:t>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205740</xdr:colOff>
      <xdr:row>3</xdr:row>
      <xdr:rowOff>15240</xdr:rowOff>
    </xdr:from>
    <xdr:to>
      <xdr:col>13</xdr:col>
      <xdr:colOff>198120</xdr:colOff>
      <xdr:row>8</xdr:row>
      <xdr:rowOff>15240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51DAAFC-D434-4EE2-91A7-32C746A7308D}"/>
            </a:ext>
          </a:extLst>
        </xdr:cNvPr>
        <xdr:cNvSpPr/>
      </xdr:nvSpPr>
      <xdr:spPr>
        <a:xfrm>
          <a:off x="6050280" y="472440"/>
          <a:ext cx="1821180" cy="9144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Retention Rate %:</a:t>
          </a:r>
          <a:r>
            <a:rPr lang="en-US" b="1">
              <a:solidFill>
                <a:schemeClr val="tx1"/>
              </a:solidFill>
            </a:rPr>
            <a:t> </a:t>
          </a:r>
        </a:p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50%</a:t>
          </a:r>
          <a:r>
            <a:rPr lang="en-US" b="1">
              <a:solidFill>
                <a:schemeClr val="tx1"/>
              </a:solidFill>
            </a:rPr>
            <a:t>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0</xdr:colOff>
      <xdr:row>3</xdr:row>
      <xdr:rowOff>22860</xdr:rowOff>
    </xdr:from>
    <xdr:to>
      <xdr:col>17</xdr:col>
      <xdr:colOff>601980</xdr:colOff>
      <xdr:row>8</xdr:row>
      <xdr:rowOff>22860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AC9F52B-0488-478D-8C79-F0D7FA5B293A}"/>
            </a:ext>
          </a:extLst>
        </xdr:cNvPr>
        <xdr:cNvSpPr/>
      </xdr:nvSpPr>
      <xdr:spPr>
        <a:xfrm>
          <a:off x="8892540" y="480060"/>
          <a:ext cx="1821180" cy="9144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Revenue Lost Due to Churn</a:t>
          </a:r>
          <a:r>
            <a:rPr lang="en-US" b="1">
              <a:solidFill>
                <a:schemeClr val="tx1"/>
              </a:solidFill>
            </a:rPr>
            <a:t> </a:t>
          </a:r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$2,054,000</a:t>
          </a:r>
          <a:r>
            <a:rPr lang="en-US" sz="2400" b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10</xdr:col>
      <xdr:colOff>0</xdr:colOff>
      <xdr:row>8</xdr:row>
      <xdr:rowOff>121920</xdr:rowOff>
    </xdr:from>
    <xdr:to>
      <xdr:col>18</xdr:col>
      <xdr:colOff>15240</xdr:colOff>
      <xdr:row>21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D94710-A5AF-4FE5-A548-5ABD4A938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22</xdr:row>
      <xdr:rowOff>152400</xdr:rowOff>
    </xdr:from>
    <xdr:to>
      <xdr:col>9</xdr:col>
      <xdr:colOff>91440</xdr:colOff>
      <xdr:row>36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803820-E32E-486F-A889-6309A322A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7620</xdr:colOff>
      <xdr:row>22</xdr:row>
      <xdr:rowOff>160020</xdr:rowOff>
    </xdr:from>
    <xdr:to>
      <xdr:col>18</xdr:col>
      <xdr:colOff>22860</xdr:colOff>
      <xdr:row>36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C0D90D-1022-4D3E-B12B-AD6B853D3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AMA" refreshedDate="46042.123574074074" createdVersion="7" refreshedVersion="7" minRefreshableVersion="3" recordCount="20" xr:uid="{837334C3-22FC-4A2C-9B1C-6B1BD0E2D77C}">
  <cacheSource type="worksheet">
    <worksheetSource name="Table3_2"/>
  </cacheSource>
  <cacheFields count="15">
    <cacheField name="Customer_ID" numFmtId="0">
      <sharedItems/>
    </cacheField>
    <cacheField name="Customer_Name" numFmtId="0">
      <sharedItems/>
    </cacheField>
    <cacheField name="Join_Date" numFmtId="14">
      <sharedItems containsSemiMixedTypes="0" containsNonDate="0" containsDate="1" containsString="0" minDate="2018-11-11T00:00:00" maxDate="2023-05-02T00:00:00"/>
    </cacheField>
    <cacheField name="Last_Purchase_Date" numFmtId="14">
      <sharedItems containsSemiMixedTypes="0" containsNonDate="0" containsDate="1" containsString="0" minDate="2023-07-20T00:00:00" maxDate="2024-12-06T00:00:00" count="20">
        <d v="2024-11-10T00:00:00"/>
        <d v="2024-05-01T00:00:00"/>
        <d v="2024-02-10T00:00:00"/>
        <d v="2023-12-15T00:00:00"/>
        <d v="2024-10-22T00:00:00"/>
        <d v="2023-09-18T00:00:00"/>
        <d v="2024-12-01T00:00:00"/>
        <d v="2024-01-20T00:00:00"/>
        <d v="2024-11-28T00:00:00"/>
        <d v="2023-08-05T00:00:00"/>
        <d v="2024-10-15T00:00:00"/>
        <d v="2024-03-12T00:00:00"/>
        <d v="2024-09-01T00:00:00"/>
        <d v="2024-12-03T00:00:00"/>
        <d v="2023-07-20T00:00:00"/>
        <d v="2024-08-25T00:00:00"/>
        <d v="2024-04-05T00:00:00"/>
        <d v="2024-10-30T00:00:00"/>
        <d v="2023-10-10T00:00:00"/>
        <d v="2024-12-05T00:00:00"/>
      </sharedItems>
      <fieldGroup base="3">
        <rangePr groupBy="months" startDate="2023-07-20T00:00:00" endDate="2024-12-06T00:00:00"/>
        <groupItems count="14">
          <s v="&lt;7/20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6/2024"/>
        </groupItems>
      </fieldGroup>
    </cacheField>
    <cacheField name="Region" numFmtId="0">
      <sharedItems count="4">
        <s v="West"/>
        <s v="East"/>
        <s v="South"/>
        <s v="North"/>
      </sharedItems>
    </cacheField>
    <cacheField name="Segment" numFmtId="0">
      <sharedItems count="3">
        <s v="Consumer"/>
        <s v="Corporate"/>
        <s v="Small Business"/>
      </sharedItems>
    </cacheField>
    <cacheField name="Subscription_Type" numFmtId="0">
      <sharedItems/>
    </cacheField>
    <cacheField name="Total_Orders" numFmtId="0">
      <sharedItems containsSemiMixedTypes="0" containsString="0" containsNumber="1" containsInteger="1" minValue="5" maxValue="40"/>
    </cacheField>
    <cacheField name="Total_Revenue" numFmtId="164">
      <sharedItems containsSemiMixedTypes="0" containsString="0" containsNumber="1" containsInteger="1" minValue="38000" maxValue="560000"/>
    </cacheField>
    <cacheField name="Support_Tickets" numFmtId="0">
      <sharedItems containsSemiMixedTypes="0" containsString="0" containsNumber="1" containsInteger="1" minValue="0" maxValue="7"/>
    </cacheField>
    <cacheField name="Is_Active" numFmtId="0">
      <sharedItems/>
    </cacheField>
    <cacheField name="Days_Since_Last_Purchase" numFmtId="1">
      <sharedItems containsSemiMixedTypes="0" containsString="0" containsNumber="1" containsInteger="1" minValue="411" maxValue="915"/>
    </cacheField>
    <cacheField name="Customer Tenure" numFmtId="1">
      <sharedItems containsSemiMixedTypes="0" containsString="0" containsNumber="1" containsInteger="1" minValue="32" maxValue="86"/>
    </cacheField>
    <cacheField name="Churn Status" numFmtId="0">
      <sharedItems count="2">
        <s v="Active"/>
        <s v="Churned"/>
      </sharedItems>
    </cacheField>
    <cacheField name="High Risk 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C001"/>
    <s v="Ali Khan"/>
    <d v="2022-01-15T00:00:00"/>
    <x v="0"/>
    <x v="0"/>
    <x v="0"/>
    <s v="Monthly"/>
    <n v="18"/>
    <n v="125000"/>
    <n v="1"/>
    <s v="Yes"/>
    <n v="436"/>
    <n v="48"/>
    <x v="0"/>
    <s v="Low Risk"/>
  </r>
  <r>
    <s v="C002"/>
    <s v="Sara Ahmed"/>
    <d v="2021-07-20T00:00:00"/>
    <x v="1"/>
    <x v="1"/>
    <x v="1"/>
    <s v="Annual"/>
    <n v="32"/>
    <n v="420000"/>
    <n v="0"/>
    <s v="Yes"/>
    <n v="629"/>
    <n v="54"/>
    <x v="1"/>
    <s v="Low Risk"/>
  </r>
  <r>
    <s v="C003"/>
    <s v="Usman Raza"/>
    <d v="2020-03-11T00:00:00"/>
    <x v="2"/>
    <x v="2"/>
    <x v="2"/>
    <s v="Monthly"/>
    <n v="12"/>
    <n v="89000"/>
    <n v="4"/>
    <s v="No"/>
    <n v="710"/>
    <n v="70"/>
    <x v="1"/>
    <s v="High Risk"/>
  </r>
  <r>
    <s v="C004"/>
    <s v="Ayesha Malik"/>
    <d v="2019-09-05T00:00:00"/>
    <x v="3"/>
    <x v="3"/>
    <x v="0"/>
    <s v="Quarterly"/>
    <n v="25"/>
    <n v="210000"/>
    <n v="2"/>
    <s v="No"/>
    <n v="767"/>
    <n v="76"/>
    <x v="1"/>
    <s v="Low Risk"/>
  </r>
  <r>
    <s v="C005"/>
    <s v="Bilal Hussain"/>
    <d v="2022-11-01T00:00:00"/>
    <x v="4"/>
    <x v="0"/>
    <x v="1"/>
    <s v="Annual"/>
    <n v="40"/>
    <n v="560000"/>
    <n v="0"/>
    <s v="Yes"/>
    <n v="455"/>
    <n v="38"/>
    <x v="0"/>
    <s v="Low Risk"/>
  </r>
  <r>
    <s v="C006"/>
    <s v="Hina Shah"/>
    <d v="2021-02-17T00:00:00"/>
    <x v="5"/>
    <x v="1"/>
    <x v="2"/>
    <s v="Monthly"/>
    <n v="9"/>
    <n v="64000"/>
    <n v="5"/>
    <s v="No"/>
    <n v="855"/>
    <n v="59"/>
    <x v="1"/>
    <s v="High Risk"/>
  </r>
  <r>
    <s v="C007"/>
    <s v="Ahmed Noor"/>
    <d v="2023-01-12T00:00:00"/>
    <x v="6"/>
    <x v="2"/>
    <x v="0"/>
    <s v="Monthly"/>
    <n v="6"/>
    <n v="45000"/>
    <n v="0"/>
    <s v="Yes"/>
    <n v="415"/>
    <n v="36"/>
    <x v="0"/>
    <s v="Low Risk"/>
  </r>
  <r>
    <s v="C008"/>
    <s v="Mariam Iqbal"/>
    <d v="2020-06-30T00:00:00"/>
    <x v="7"/>
    <x v="0"/>
    <x v="1"/>
    <s v="Quarterly"/>
    <n v="22"/>
    <n v="305000"/>
    <n v="3"/>
    <s v="No"/>
    <n v="731"/>
    <n v="66"/>
    <x v="1"/>
    <s v="Low Risk"/>
  </r>
  <r>
    <s v="C009"/>
    <s v="Farhan Ali"/>
    <d v="2021-10-09T00:00:00"/>
    <x v="8"/>
    <x v="3"/>
    <x v="2"/>
    <s v="Monthly"/>
    <n v="14"/>
    <n v="98000"/>
    <n v="2"/>
    <s v="Yes"/>
    <n v="418"/>
    <n v="51"/>
    <x v="0"/>
    <s v="Low Risk"/>
  </r>
  <r>
    <s v="C010"/>
    <s v="Zara Sheikh"/>
    <d v="2019-04-25T00:00:00"/>
    <x v="9"/>
    <x v="1"/>
    <x v="0"/>
    <s v="Annual"/>
    <n v="30"/>
    <n v="275000"/>
    <n v="6"/>
    <s v="No"/>
    <n v="899"/>
    <n v="80"/>
    <x v="1"/>
    <s v="High Risk"/>
  </r>
  <r>
    <s v="C011"/>
    <s v="Saad Yousaf"/>
    <d v="2022-08-18T00:00:00"/>
    <x v="10"/>
    <x v="2"/>
    <x v="1"/>
    <s v="Annual"/>
    <n v="28"/>
    <n v="390000"/>
    <n v="1"/>
    <s v="Yes"/>
    <n v="462"/>
    <n v="41"/>
    <x v="0"/>
    <s v="Low Risk"/>
  </r>
  <r>
    <s v="C012"/>
    <s v="Noor Fatima"/>
    <d v="2021-12-03T00:00:00"/>
    <x v="11"/>
    <x v="0"/>
    <x v="0"/>
    <s v="Monthly"/>
    <n v="10"/>
    <n v="72000"/>
    <n v="4"/>
    <s v="No"/>
    <n v="679"/>
    <n v="49"/>
    <x v="1"/>
    <s v="High Risk"/>
  </r>
  <r>
    <s v="C013"/>
    <s v="Imran Qureshi"/>
    <d v="2020-05-19T00:00:00"/>
    <x v="12"/>
    <x v="3"/>
    <x v="1"/>
    <s v="Quarterly"/>
    <n v="35"/>
    <n v="480000"/>
    <n v="0"/>
    <s v="Yes"/>
    <n v="506"/>
    <n v="68"/>
    <x v="0"/>
    <s v="Low Risk"/>
  </r>
  <r>
    <s v="C014"/>
    <s v="Sana Arif"/>
    <d v="2023-02-07T00:00:00"/>
    <x v="13"/>
    <x v="1"/>
    <x v="0"/>
    <s v="Monthly"/>
    <n v="5"/>
    <n v="38000"/>
    <n v="0"/>
    <s v="Yes"/>
    <n v="413"/>
    <n v="35"/>
    <x v="0"/>
    <s v="Low Risk"/>
  </r>
  <r>
    <s v="C015"/>
    <s v="Kamran Latif"/>
    <d v="2018-11-11T00:00:00"/>
    <x v="14"/>
    <x v="2"/>
    <x v="2"/>
    <s v="Monthly"/>
    <n v="20"/>
    <n v="150000"/>
    <n v="7"/>
    <s v="No"/>
    <n v="915"/>
    <n v="86"/>
    <x v="1"/>
    <s v="High Risk"/>
  </r>
  <r>
    <s v="C016"/>
    <s v="Rabia Tariq"/>
    <d v="2022-06-14T00:00:00"/>
    <x v="15"/>
    <x v="0"/>
    <x v="0"/>
    <s v="Quarterly"/>
    <n v="16"/>
    <n v="118000"/>
    <n v="1"/>
    <s v="Yes"/>
    <n v="513"/>
    <n v="43"/>
    <x v="0"/>
    <s v="Low Risk"/>
  </r>
  <r>
    <s v="C017"/>
    <s v="Shahbaz Ali"/>
    <d v="2021-01-30T00:00:00"/>
    <x v="16"/>
    <x v="1"/>
    <x v="1"/>
    <s v="Annual"/>
    <n v="29"/>
    <n v="410000"/>
    <n v="2"/>
    <s v="No"/>
    <n v="655"/>
    <n v="59"/>
    <x v="1"/>
    <s v="Low Risk"/>
  </r>
  <r>
    <s v="C018"/>
    <s v="Nida Hussain"/>
    <d v="2020-09-22T00:00:00"/>
    <x v="17"/>
    <x v="3"/>
    <x v="0"/>
    <s v="Monthly"/>
    <n v="11"/>
    <n v="83000"/>
    <n v="0"/>
    <s v="Yes"/>
    <n v="447"/>
    <n v="63"/>
    <x v="0"/>
    <s v="Low Risk"/>
  </r>
  <r>
    <s v="C019"/>
    <s v="Omar Siddiqui"/>
    <d v="2022-03-08T00:00:00"/>
    <x v="18"/>
    <x v="2"/>
    <x v="2"/>
    <s v="Monthly"/>
    <n v="8"/>
    <n v="59000"/>
    <n v="5"/>
    <s v="No"/>
    <n v="833"/>
    <n v="46"/>
    <x v="1"/>
    <s v="High Risk"/>
  </r>
  <r>
    <s v="C020"/>
    <s v="Anum Riaz"/>
    <d v="2023-05-01T00:00:00"/>
    <x v="19"/>
    <x v="0"/>
    <x v="1"/>
    <s v="Quarterly"/>
    <n v="7"/>
    <n v="95000"/>
    <n v="0"/>
    <s v="Yes"/>
    <n v="411"/>
    <n v="32"/>
    <x v="0"/>
    <s v="Low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6C29E-DC4D-441A-8776-794300EE3CB2}" name="PivotTable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Months">
  <location ref="C36:D48" firstHeaderRow="1" firstDataRow="1" firstDataCol="1" rowPageCount="1" colPageCount="1"/>
  <pivotFields count="15">
    <pivotField dataField="1" showAll="0"/>
    <pivotField showAll="0"/>
    <pivotField numFmtId="14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numFmtId="1" showAll="0"/>
    <pivotField numFmtId="1" showAll="0"/>
    <pivotField axis="axisPage" showAll="0">
      <items count="3">
        <item x="0"/>
        <item x="1"/>
        <item t="default"/>
      </items>
    </pivotField>
    <pivotField showAll="0"/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3" hier="-1"/>
  </pageFields>
  <dataFields count="1">
    <dataField name="Count of Custom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C56B0-F18C-4828-A3B1-A9E556191604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Segments">
  <location ref="G27:H31" firstHeaderRow="1" firstDataRow="1" firstDataCol="1" rowPageCount="1" colPageCount="1"/>
  <pivotFields count="15">
    <pivotField showAll="0"/>
    <pivotField showAll="0"/>
    <pivotField numFmtId="1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showAll="0"/>
    <pivotField numFmtId="1" showAll="0"/>
    <pivotField numFmtId="1" showAll="0"/>
    <pivotField axis="axisPage" showAll="0">
      <items count="3">
        <item x="0"/>
        <item x="1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3" item="1" hier="-1"/>
  </pageFields>
  <dataFields count="1">
    <dataField name="Sum of Total_Revenue" fld="8" baseField="0" baseItem="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46329-1618-47B2-9907-BE4EA011BD9E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Segment">
  <location ref="D27:E31" firstHeaderRow="1" firstDataRow="1" firstDataCol="1" rowPageCount="1" colPageCount="1"/>
  <pivotFields count="15">
    <pivotField showAll="0"/>
    <pivotField showAll="0"/>
    <pivotField numFmtId="1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showAll="0"/>
    <pivotField numFmtId="1" showAll="0"/>
    <pivotField numFmtId="1" showAll="0"/>
    <pivotField axis="axisPage" dataField="1" showAll="0">
      <items count="3">
        <item x="0"/>
        <item x="1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3" item="1" hier="-1"/>
  </pageFields>
  <dataFields count="1">
    <dataField name="Count of Churn Status" fld="13" subtotal="count" showDataAs="percentOfCol" baseField="5" baseItem="0" numFmtId="9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CC219-C274-4B4B-847E-FC335A73E4AD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Regions">
  <location ref="A27:B32" firstHeaderRow="1" firstDataRow="1" firstDataCol="1" rowPageCount="1" colPageCount="1"/>
  <pivotFields count="15">
    <pivotField showAll="0"/>
    <pivotField showAll="0"/>
    <pivotField numFmtId="1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numFmtId="1" showAll="0"/>
    <pivotField numFmtId="1" showAll="0"/>
    <pivotField axis="axisPage" dataField="1" showAll="0">
      <items count="3">
        <item x="0"/>
        <item x="1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3" item="1" hier="-1"/>
  </pageFields>
  <dataFields count="1">
    <dataField name="Count of Churn Status" fld="13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9F9BB3-CBBB-4480-97F8-2BE56C4A1ED7}" autoFormatId="16" applyNumberFormats="0" applyBorderFormats="0" applyFontFormats="0" applyPatternFormats="0" applyAlignmentFormats="0" applyWidthHeightFormats="0">
  <queryTableRefresh nextId="16" unboundColumnsRight="4">
    <queryTableFields count="15">
      <queryTableField id="1" name="Customer_ID" tableColumnId="1"/>
      <queryTableField id="2" name="Customer_Name" tableColumnId="2"/>
      <queryTableField id="3" name="Join_Date" tableColumnId="3"/>
      <queryTableField id="4" name="Last_Purchase_Date" tableColumnId="4"/>
      <queryTableField id="5" name="Region" tableColumnId="5"/>
      <queryTableField id="6" name="Segment" tableColumnId="6"/>
      <queryTableField id="7" name="Subscription_Type" tableColumnId="7"/>
      <queryTableField id="8" name="Total_Orders" tableColumnId="8"/>
      <queryTableField id="9" name="Total_Revenue" tableColumnId="9"/>
      <queryTableField id="10" name="Support_Tickets" tableColumnId="10"/>
      <queryTableField id="11" name="Is_Active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B74066-386A-49A4-830B-52100CE8C2A0}" name="Table3_2" displayName="Table3_2" ref="A1:O21" tableType="queryTable" totalsRowShown="0">
  <autoFilter ref="A1:O21" xr:uid="{52B74066-386A-49A4-830B-52100CE8C2A0}"/>
  <tableColumns count="15">
    <tableColumn id="1" xr3:uid="{594980AE-F06B-40CB-8875-A6FCE29B541B}" uniqueName="1" name="Customer_ID" queryTableFieldId="1" dataDxfId="14"/>
    <tableColumn id="2" xr3:uid="{1B2D11EC-1461-4C44-9A9F-B45D7B7C7310}" uniqueName="2" name="Customer_Name" queryTableFieldId="2" dataDxfId="13"/>
    <tableColumn id="3" xr3:uid="{5B49B158-D2C0-449E-A4B8-DF7084D7546D}" uniqueName="3" name="Join_Date" queryTableFieldId="3" dataDxfId="12"/>
    <tableColumn id="4" xr3:uid="{D1429B9D-0C3C-45AD-A60F-5E03B3B8B523}" uniqueName="4" name="Last_Purchase_Date" queryTableFieldId="4" dataDxfId="11"/>
    <tableColumn id="5" xr3:uid="{6AAAC289-D40D-4F2A-895C-0AF2A39950D6}" uniqueName="5" name="Region" queryTableFieldId="5" dataDxfId="10"/>
    <tableColumn id="6" xr3:uid="{DA7694CA-58E2-4065-B045-A8601C916861}" uniqueName="6" name="Segment" queryTableFieldId="6" dataDxfId="9"/>
    <tableColumn id="7" xr3:uid="{8C4522B7-4419-4AFE-9539-1435BAD4A523}" uniqueName="7" name="Subscription_Type" queryTableFieldId="7" dataDxfId="8"/>
    <tableColumn id="8" xr3:uid="{1C78F0D7-ECE4-4A12-9964-70CAD7F3759F}" uniqueName="8" name="Total_Orders" queryTableFieldId="8"/>
    <tableColumn id="9" xr3:uid="{75B2B973-4493-4ED4-B564-4682AACC27D3}" uniqueName="9" name="Total_Revenue" queryTableFieldId="9" dataDxfId="7"/>
    <tableColumn id="10" xr3:uid="{05638021-2C86-4602-94FF-D47CCC96CD27}" uniqueName="10" name="Support_Tickets" queryTableFieldId="10"/>
    <tableColumn id="11" xr3:uid="{4A27FA2E-8586-4920-AFD4-1F67454DFD97}" uniqueName="11" name="Is_Active" queryTableFieldId="11" dataDxfId="6"/>
    <tableColumn id="12" xr3:uid="{69DC09C6-56F3-4C3F-86DD-389414F867DD}" uniqueName="12" name="Days_Since_Last_Purchase" queryTableFieldId="12" dataDxfId="5">
      <calculatedColumnFormula>TODAY()-Table3_2[[#This Row],[Last_Purchase_Date]]</calculatedColumnFormula>
    </tableColumn>
    <tableColumn id="13" xr3:uid="{84826066-658D-4A06-A759-02DEC30CBBE1}" uniqueName="13" name="Customer Tenure" queryTableFieldId="13" dataDxfId="4">
      <calculatedColumnFormula>DATEDIF(Table3_2[[#This Row],[Join_Date]],TODAY(),"m")</calculatedColumnFormula>
    </tableColumn>
    <tableColumn id="14" xr3:uid="{65BFD4BC-A427-415A-ABD7-F03F8F6B72B7}" uniqueName="14" name="Churn Status" queryTableFieldId="14" dataDxfId="3">
      <calculatedColumnFormula>IF(Table3_2[[#This Row],[Days_Since_Last_Purchase]]&gt;600,"Churned","Active")</calculatedColumnFormula>
    </tableColumn>
    <tableColumn id="15" xr3:uid="{5D37A128-7211-4E6A-9039-591767E4B972}" uniqueName="15" name="High Risk Flag" queryTableFieldId="15" dataDxfId="2">
      <calculatedColumnFormula>IF(AND(Table3_2[[#This Row],[Days_Since_Last_Purchase]]&gt;400,Table3_2[[#This Row],[Support_Tickets]]&gt;3),"High Risk","Low Risk")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1092-62FD-4276-8E33-8671154C46EF}">
  <dimension ref="A1:O48"/>
  <sheetViews>
    <sheetView workbookViewId="0">
      <selection activeCell="C36" sqref="C36"/>
    </sheetView>
  </sheetViews>
  <sheetFormatPr defaultRowHeight="14.4" x14ac:dyDescent="0.3"/>
  <cols>
    <col min="1" max="1" width="14.109375" bestFit="1" customWidth="1"/>
    <col min="2" max="2" width="19.77734375" bestFit="1" customWidth="1"/>
    <col min="3" max="3" width="11.21875" bestFit="1" customWidth="1"/>
    <col min="4" max="5" width="19.88671875" bestFit="1" customWidth="1"/>
    <col min="6" max="6" width="12.6640625" bestFit="1" customWidth="1"/>
    <col min="7" max="7" width="24.109375" bestFit="1" customWidth="1"/>
    <col min="8" max="8" width="20.21875" bestFit="1" customWidth="1"/>
    <col min="9" max="9" width="24.6640625" bestFit="1" customWidth="1"/>
    <col min="10" max="10" width="26.109375" bestFit="1" customWidth="1"/>
    <col min="11" max="11" width="10.77734375" bestFit="1" customWidth="1"/>
    <col min="12" max="12" width="26" bestFit="1" customWidth="1"/>
    <col min="13" max="13" width="17.77734375" bestFit="1" customWidth="1"/>
    <col min="14" max="14" width="14" bestFit="1" customWidth="1"/>
    <col min="15" max="15" width="14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63</v>
      </c>
      <c r="M1" s="4" t="s">
        <v>64</v>
      </c>
      <c r="N1" t="s">
        <v>65</v>
      </c>
      <c r="O1" t="s">
        <v>66</v>
      </c>
    </row>
    <row r="2" spans="1:15" x14ac:dyDescent="0.3">
      <c r="A2" s="2" t="s">
        <v>11</v>
      </c>
      <c r="B2" s="2" t="s">
        <v>12</v>
      </c>
      <c r="C2" s="1">
        <v>44576</v>
      </c>
      <c r="D2" s="1">
        <v>45606</v>
      </c>
      <c r="E2" s="2" t="s">
        <v>13</v>
      </c>
      <c r="F2" s="2" t="s">
        <v>14</v>
      </c>
      <c r="G2" s="2" t="s">
        <v>15</v>
      </c>
      <c r="H2">
        <v>18</v>
      </c>
      <c r="I2" s="3">
        <v>125000</v>
      </c>
      <c r="J2">
        <v>1</v>
      </c>
      <c r="K2" s="2" t="s">
        <v>16</v>
      </c>
      <c r="L2" s="4">
        <f ca="1">TODAY()-Table3_2[[#This Row],[Last_Purchase_Date]]</f>
        <v>436</v>
      </c>
      <c r="M2" s="4">
        <f ca="1">DATEDIF(Table3_2[[#This Row],[Join_Date]],TODAY(),"m")</f>
        <v>48</v>
      </c>
      <c r="N2" t="str">
        <f ca="1">IF(Table3_2[[#This Row],[Days_Since_Last_Purchase]]&gt;600,"Churned","Active")</f>
        <v>Active</v>
      </c>
      <c r="O2" t="str">
        <f ca="1">IF(AND(Table3_2[[#This Row],[Days_Since_Last_Purchase]]&gt;400,Table3_2[[#This Row],[Support_Tickets]]&gt;3),"High Risk","Low Risk")</f>
        <v>Low Risk</v>
      </c>
    </row>
    <row r="3" spans="1:15" x14ac:dyDescent="0.3">
      <c r="A3" s="2" t="s">
        <v>17</v>
      </c>
      <c r="B3" s="2" t="s">
        <v>18</v>
      </c>
      <c r="C3" s="1">
        <v>44397</v>
      </c>
      <c r="D3" s="1">
        <v>45413</v>
      </c>
      <c r="E3" s="2" t="s">
        <v>19</v>
      </c>
      <c r="F3" s="2" t="s">
        <v>20</v>
      </c>
      <c r="G3" s="2" t="s">
        <v>21</v>
      </c>
      <c r="H3">
        <v>32</v>
      </c>
      <c r="I3" s="3">
        <v>420000</v>
      </c>
      <c r="J3">
        <v>0</v>
      </c>
      <c r="K3" s="2" t="s">
        <v>16</v>
      </c>
      <c r="L3" s="4">
        <f ca="1">TODAY()-Table3_2[[#This Row],[Last_Purchase_Date]]</f>
        <v>629</v>
      </c>
      <c r="M3" s="4">
        <f ca="1">DATEDIF(Table3_2[[#This Row],[Join_Date]],TODAY(),"m")</f>
        <v>54</v>
      </c>
      <c r="N3" t="str">
        <f ca="1">IF(Table3_2[[#This Row],[Days_Since_Last_Purchase]]&gt;600,"Churned","Active")</f>
        <v>Churned</v>
      </c>
      <c r="O3" t="str">
        <f ca="1">IF(AND(Table3_2[[#This Row],[Days_Since_Last_Purchase]]&gt;400,Table3_2[[#This Row],[Support_Tickets]]&gt;3),"High Risk","Low Risk")</f>
        <v>Low Risk</v>
      </c>
    </row>
    <row r="4" spans="1:15" x14ac:dyDescent="0.3">
      <c r="A4" s="2" t="s">
        <v>22</v>
      </c>
      <c r="B4" s="2" t="s">
        <v>23</v>
      </c>
      <c r="C4" s="1">
        <v>43901</v>
      </c>
      <c r="D4" s="1">
        <v>45332</v>
      </c>
      <c r="E4" s="2" t="s">
        <v>24</v>
      </c>
      <c r="F4" s="2" t="s">
        <v>25</v>
      </c>
      <c r="G4" s="2" t="s">
        <v>15</v>
      </c>
      <c r="H4">
        <v>12</v>
      </c>
      <c r="I4" s="3">
        <v>89000</v>
      </c>
      <c r="J4">
        <v>4</v>
      </c>
      <c r="K4" s="2" t="s">
        <v>26</v>
      </c>
      <c r="L4" s="4">
        <f ca="1">TODAY()-Table3_2[[#This Row],[Last_Purchase_Date]]</f>
        <v>710</v>
      </c>
      <c r="M4" s="4">
        <f ca="1">DATEDIF(Table3_2[[#This Row],[Join_Date]],TODAY(),"m")</f>
        <v>70</v>
      </c>
      <c r="N4" t="str">
        <f ca="1">IF(Table3_2[[#This Row],[Days_Since_Last_Purchase]]&gt;600,"Churned","Active")</f>
        <v>Churned</v>
      </c>
      <c r="O4" t="str">
        <f ca="1">IF(AND(Table3_2[[#This Row],[Days_Since_Last_Purchase]]&gt;400,Table3_2[[#This Row],[Support_Tickets]]&gt;3),"High Risk","Low Risk")</f>
        <v>High Risk</v>
      </c>
    </row>
    <row r="5" spans="1:15" x14ac:dyDescent="0.3">
      <c r="A5" s="2" t="s">
        <v>27</v>
      </c>
      <c r="B5" s="2" t="s">
        <v>28</v>
      </c>
      <c r="C5" s="1">
        <v>43713</v>
      </c>
      <c r="D5" s="1">
        <v>45275</v>
      </c>
      <c r="E5" s="2" t="s">
        <v>29</v>
      </c>
      <c r="F5" s="2" t="s">
        <v>14</v>
      </c>
      <c r="G5" s="2" t="s">
        <v>30</v>
      </c>
      <c r="H5">
        <v>25</v>
      </c>
      <c r="I5" s="3">
        <v>210000</v>
      </c>
      <c r="J5">
        <v>2</v>
      </c>
      <c r="K5" s="2" t="s">
        <v>26</v>
      </c>
      <c r="L5" s="4">
        <f ca="1">TODAY()-Table3_2[[#This Row],[Last_Purchase_Date]]</f>
        <v>767</v>
      </c>
      <c r="M5" s="4">
        <f ca="1">DATEDIF(Table3_2[[#This Row],[Join_Date]],TODAY(),"m")</f>
        <v>76</v>
      </c>
      <c r="N5" t="str">
        <f ca="1">IF(Table3_2[[#This Row],[Days_Since_Last_Purchase]]&gt;600,"Churned","Active")</f>
        <v>Churned</v>
      </c>
      <c r="O5" t="str">
        <f ca="1">IF(AND(Table3_2[[#This Row],[Days_Since_Last_Purchase]]&gt;400,Table3_2[[#This Row],[Support_Tickets]]&gt;3),"High Risk","Low Risk")</f>
        <v>Low Risk</v>
      </c>
    </row>
    <row r="6" spans="1:15" x14ac:dyDescent="0.3">
      <c r="A6" s="2" t="s">
        <v>31</v>
      </c>
      <c r="B6" s="2" t="s">
        <v>32</v>
      </c>
      <c r="C6" s="1">
        <v>44866</v>
      </c>
      <c r="D6" s="1">
        <v>45587</v>
      </c>
      <c r="E6" s="2" t="s">
        <v>13</v>
      </c>
      <c r="F6" s="2" t="s">
        <v>20</v>
      </c>
      <c r="G6" s="2" t="s">
        <v>21</v>
      </c>
      <c r="H6">
        <v>40</v>
      </c>
      <c r="I6" s="3">
        <v>560000</v>
      </c>
      <c r="J6">
        <v>0</v>
      </c>
      <c r="K6" s="2" t="s">
        <v>16</v>
      </c>
      <c r="L6" s="4">
        <f ca="1">TODAY()-Table3_2[[#This Row],[Last_Purchase_Date]]</f>
        <v>455</v>
      </c>
      <c r="M6" s="4">
        <f ca="1">DATEDIF(Table3_2[[#This Row],[Join_Date]],TODAY(),"m")</f>
        <v>38</v>
      </c>
      <c r="N6" t="str">
        <f ca="1">IF(Table3_2[[#This Row],[Days_Since_Last_Purchase]]&gt;600,"Churned","Active")</f>
        <v>Active</v>
      </c>
      <c r="O6" t="str">
        <f ca="1">IF(AND(Table3_2[[#This Row],[Days_Since_Last_Purchase]]&gt;400,Table3_2[[#This Row],[Support_Tickets]]&gt;3),"High Risk","Low Risk")</f>
        <v>Low Risk</v>
      </c>
    </row>
    <row r="7" spans="1:15" x14ac:dyDescent="0.3">
      <c r="A7" s="2" t="s">
        <v>33</v>
      </c>
      <c r="B7" s="2" t="s">
        <v>34</v>
      </c>
      <c r="C7" s="1">
        <v>44244</v>
      </c>
      <c r="D7" s="1">
        <v>45187</v>
      </c>
      <c r="E7" s="2" t="s">
        <v>19</v>
      </c>
      <c r="F7" s="2" t="s">
        <v>25</v>
      </c>
      <c r="G7" s="2" t="s">
        <v>15</v>
      </c>
      <c r="H7">
        <v>9</v>
      </c>
      <c r="I7" s="3">
        <v>64000</v>
      </c>
      <c r="J7">
        <v>5</v>
      </c>
      <c r="K7" s="2" t="s">
        <v>26</v>
      </c>
      <c r="L7" s="4">
        <f ca="1">TODAY()-Table3_2[[#This Row],[Last_Purchase_Date]]</f>
        <v>855</v>
      </c>
      <c r="M7" s="4">
        <f ca="1">DATEDIF(Table3_2[[#This Row],[Join_Date]],TODAY(),"m")</f>
        <v>59</v>
      </c>
      <c r="N7" t="str">
        <f ca="1">IF(Table3_2[[#This Row],[Days_Since_Last_Purchase]]&gt;600,"Churned","Active")</f>
        <v>Churned</v>
      </c>
      <c r="O7" t="str">
        <f ca="1">IF(AND(Table3_2[[#This Row],[Days_Since_Last_Purchase]]&gt;400,Table3_2[[#This Row],[Support_Tickets]]&gt;3),"High Risk","Low Risk")</f>
        <v>High Risk</v>
      </c>
    </row>
    <row r="8" spans="1:15" x14ac:dyDescent="0.3">
      <c r="A8" s="2" t="s">
        <v>35</v>
      </c>
      <c r="B8" s="2" t="s">
        <v>36</v>
      </c>
      <c r="C8" s="1">
        <v>44938</v>
      </c>
      <c r="D8" s="1">
        <v>45627</v>
      </c>
      <c r="E8" s="2" t="s">
        <v>24</v>
      </c>
      <c r="F8" s="2" t="s">
        <v>14</v>
      </c>
      <c r="G8" s="2" t="s">
        <v>15</v>
      </c>
      <c r="H8">
        <v>6</v>
      </c>
      <c r="I8" s="3">
        <v>45000</v>
      </c>
      <c r="J8">
        <v>0</v>
      </c>
      <c r="K8" s="2" t="s">
        <v>16</v>
      </c>
      <c r="L8" s="4">
        <f ca="1">TODAY()-Table3_2[[#This Row],[Last_Purchase_Date]]</f>
        <v>415</v>
      </c>
      <c r="M8" s="4">
        <f ca="1">DATEDIF(Table3_2[[#This Row],[Join_Date]],TODAY(),"m")</f>
        <v>36</v>
      </c>
      <c r="N8" t="str">
        <f ca="1">IF(Table3_2[[#This Row],[Days_Since_Last_Purchase]]&gt;600,"Churned","Active")</f>
        <v>Active</v>
      </c>
      <c r="O8" t="str">
        <f ca="1">IF(AND(Table3_2[[#This Row],[Days_Since_Last_Purchase]]&gt;400,Table3_2[[#This Row],[Support_Tickets]]&gt;3),"High Risk","Low Risk")</f>
        <v>Low Risk</v>
      </c>
    </row>
    <row r="9" spans="1:15" x14ac:dyDescent="0.3">
      <c r="A9" s="2" t="s">
        <v>37</v>
      </c>
      <c r="B9" s="2" t="s">
        <v>38</v>
      </c>
      <c r="C9" s="1">
        <v>44012</v>
      </c>
      <c r="D9" s="1">
        <v>45311</v>
      </c>
      <c r="E9" s="2" t="s">
        <v>13</v>
      </c>
      <c r="F9" s="2" t="s">
        <v>20</v>
      </c>
      <c r="G9" s="2" t="s">
        <v>30</v>
      </c>
      <c r="H9">
        <v>22</v>
      </c>
      <c r="I9" s="3">
        <v>305000</v>
      </c>
      <c r="J9">
        <v>3</v>
      </c>
      <c r="K9" s="2" t="s">
        <v>26</v>
      </c>
      <c r="L9" s="4">
        <f ca="1">TODAY()-Table3_2[[#This Row],[Last_Purchase_Date]]</f>
        <v>731</v>
      </c>
      <c r="M9" s="4">
        <f ca="1">DATEDIF(Table3_2[[#This Row],[Join_Date]],TODAY(),"m")</f>
        <v>66</v>
      </c>
      <c r="N9" t="str">
        <f ca="1">IF(Table3_2[[#This Row],[Days_Since_Last_Purchase]]&gt;600,"Churned","Active")</f>
        <v>Churned</v>
      </c>
      <c r="O9" t="str">
        <f ca="1">IF(AND(Table3_2[[#This Row],[Days_Since_Last_Purchase]]&gt;400,Table3_2[[#This Row],[Support_Tickets]]&gt;3),"High Risk","Low Risk")</f>
        <v>Low Risk</v>
      </c>
    </row>
    <row r="10" spans="1:15" x14ac:dyDescent="0.3">
      <c r="A10" s="2" t="s">
        <v>39</v>
      </c>
      <c r="B10" s="2" t="s">
        <v>40</v>
      </c>
      <c r="C10" s="1">
        <v>44478</v>
      </c>
      <c r="D10" s="1">
        <v>45624</v>
      </c>
      <c r="E10" s="2" t="s">
        <v>29</v>
      </c>
      <c r="F10" s="2" t="s">
        <v>25</v>
      </c>
      <c r="G10" s="2" t="s">
        <v>15</v>
      </c>
      <c r="H10">
        <v>14</v>
      </c>
      <c r="I10" s="3">
        <v>98000</v>
      </c>
      <c r="J10">
        <v>2</v>
      </c>
      <c r="K10" s="2" t="s">
        <v>16</v>
      </c>
      <c r="L10" s="4">
        <f ca="1">TODAY()-Table3_2[[#This Row],[Last_Purchase_Date]]</f>
        <v>418</v>
      </c>
      <c r="M10" s="4">
        <f ca="1">DATEDIF(Table3_2[[#This Row],[Join_Date]],TODAY(),"m")</f>
        <v>51</v>
      </c>
      <c r="N10" t="str">
        <f ca="1">IF(Table3_2[[#This Row],[Days_Since_Last_Purchase]]&gt;600,"Churned","Active")</f>
        <v>Active</v>
      </c>
      <c r="O10" t="str">
        <f ca="1">IF(AND(Table3_2[[#This Row],[Days_Since_Last_Purchase]]&gt;400,Table3_2[[#This Row],[Support_Tickets]]&gt;3),"High Risk","Low Risk")</f>
        <v>Low Risk</v>
      </c>
    </row>
    <row r="11" spans="1:15" x14ac:dyDescent="0.3">
      <c r="A11" s="2" t="s">
        <v>41</v>
      </c>
      <c r="B11" s="2" t="s">
        <v>42</v>
      </c>
      <c r="C11" s="1">
        <v>43580</v>
      </c>
      <c r="D11" s="1">
        <v>45143</v>
      </c>
      <c r="E11" s="2" t="s">
        <v>19</v>
      </c>
      <c r="F11" s="2" t="s">
        <v>14</v>
      </c>
      <c r="G11" s="2" t="s">
        <v>21</v>
      </c>
      <c r="H11">
        <v>30</v>
      </c>
      <c r="I11" s="3">
        <v>275000</v>
      </c>
      <c r="J11">
        <v>6</v>
      </c>
      <c r="K11" s="2" t="s">
        <v>26</v>
      </c>
      <c r="L11" s="4">
        <f ca="1">TODAY()-Table3_2[[#This Row],[Last_Purchase_Date]]</f>
        <v>899</v>
      </c>
      <c r="M11" s="4">
        <f ca="1">DATEDIF(Table3_2[[#This Row],[Join_Date]],TODAY(),"m")</f>
        <v>80</v>
      </c>
      <c r="N11" t="str">
        <f ca="1">IF(Table3_2[[#This Row],[Days_Since_Last_Purchase]]&gt;600,"Churned","Active")</f>
        <v>Churned</v>
      </c>
      <c r="O11" t="str">
        <f ca="1">IF(AND(Table3_2[[#This Row],[Days_Since_Last_Purchase]]&gt;400,Table3_2[[#This Row],[Support_Tickets]]&gt;3),"High Risk","Low Risk")</f>
        <v>High Risk</v>
      </c>
    </row>
    <row r="12" spans="1:15" x14ac:dyDescent="0.3">
      <c r="A12" s="2" t="s">
        <v>43</v>
      </c>
      <c r="B12" s="2" t="s">
        <v>44</v>
      </c>
      <c r="C12" s="1">
        <v>44791</v>
      </c>
      <c r="D12" s="1">
        <v>45580</v>
      </c>
      <c r="E12" s="2" t="s">
        <v>24</v>
      </c>
      <c r="F12" s="2" t="s">
        <v>20</v>
      </c>
      <c r="G12" s="2" t="s">
        <v>21</v>
      </c>
      <c r="H12">
        <v>28</v>
      </c>
      <c r="I12" s="3">
        <v>390000</v>
      </c>
      <c r="J12">
        <v>1</v>
      </c>
      <c r="K12" s="2" t="s">
        <v>16</v>
      </c>
      <c r="L12" s="4">
        <f ca="1">TODAY()-Table3_2[[#This Row],[Last_Purchase_Date]]</f>
        <v>462</v>
      </c>
      <c r="M12" s="4">
        <f ca="1">DATEDIF(Table3_2[[#This Row],[Join_Date]],TODAY(),"m")</f>
        <v>41</v>
      </c>
      <c r="N12" t="str">
        <f ca="1">IF(Table3_2[[#This Row],[Days_Since_Last_Purchase]]&gt;600,"Churned","Active")</f>
        <v>Active</v>
      </c>
      <c r="O12" t="str">
        <f ca="1">IF(AND(Table3_2[[#This Row],[Days_Since_Last_Purchase]]&gt;400,Table3_2[[#This Row],[Support_Tickets]]&gt;3),"High Risk","Low Risk")</f>
        <v>Low Risk</v>
      </c>
    </row>
    <row r="13" spans="1:15" x14ac:dyDescent="0.3">
      <c r="A13" s="2" t="s">
        <v>45</v>
      </c>
      <c r="B13" s="2" t="s">
        <v>46</v>
      </c>
      <c r="C13" s="1">
        <v>44533</v>
      </c>
      <c r="D13" s="1">
        <v>45363</v>
      </c>
      <c r="E13" s="2" t="s">
        <v>13</v>
      </c>
      <c r="F13" s="2" t="s">
        <v>14</v>
      </c>
      <c r="G13" s="2" t="s">
        <v>15</v>
      </c>
      <c r="H13">
        <v>10</v>
      </c>
      <c r="I13" s="3">
        <v>72000</v>
      </c>
      <c r="J13">
        <v>4</v>
      </c>
      <c r="K13" s="2" t="s">
        <v>26</v>
      </c>
      <c r="L13" s="4">
        <f ca="1">TODAY()-Table3_2[[#This Row],[Last_Purchase_Date]]</f>
        <v>679</v>
      </c>
      <c r="M13" s="4">
        <f ca="1">DATEDIF(Table3_2[[#This Row],[Join_Date]],TODAY(),"m")</f>
        <v>49</v>
      </c>
      <c r="N13" t="str">
        <f ca="1">IF(Table3_2[[#This Row],[Days_Since_Last_Purchase]]&gt;600,"Churned","Active")</f>
        <v>Churned</v>
      </c>
      <c r="O13" t="str">
        <f ca="1">IF(AND(Table3_2[[#This Row],[Days_Since_Last_Purchase]]&gt;400,Table3_2[[#This Row],[Support_Tickets]]&gt;3),"High Risk","Low Risk")</f>
        <v>High Risk</v>
      </c>
    </row>
    <row r="14" spans="1:15" x14ac:dyDescent="0.3">
      <c r="A14" s="2" t="s">
        <v>47</v>
      </c>
      <c r="B14" s="2" t="s">
        <v>48</v>
      </c>
      <c r="C14" s="1">
        <v>43970</v>
      </c>
      <c r="D14" s="1">
        <v>45536</v>
      </c>
      <c r="E14" s="2" t="s">
        <v>29</v>
      </c>
      <c r="F14" s="2" t="s">
        <v>20</v>
      </c>
      <c r="G14" s="2" t="s">
        <v>30</v>
      </c>
      <c r="H14">
        <v>35</v>
      </c>
      <c r="I14" s="3">
        <v>480000</v>
      </c>
      <c r="J14">
        <v>0</v>
      </c>
      <c r="K14" s="2" t="s">
        <v>16</v>
      </c>
      <c r="L14" s="4">
        <f ca="1">TODAY()-Table3_2[[#This Row],[Last_Purchase_Date]]</f>
        <v>506</v>
      </c>
      <c r="M14" s="4">
        <f ca="1">DATEDIF(Table3_2[[#This Row],[Join_Date]],TODAY(),"m")</f>
        <v>68</v>
      </c>
      <c r="N14" t="str">
        <f ca="1">IF(Table3_2[[#This Row],[Days_Since_Last_Purchase]]&gt;600,"Churned","Active")</f>
        <v>Active</v>
      </c>
      <c r="O14" t="str">
        <f ca="1">IF(AND(Table3_2[[#This Row],[Days_Since_Last_Purchase]]&gt;400,Table3_2[[#This Row],[Support_Tickets]]&gt;3),"High Risk","Low Risk")</f>
        <v>Low Risk</v>
      </c>
    </row>
    <row r="15" spans="1:15" x14ac:dyDescent="0.3">
      <c r="A15" s="2" t="s">
        <v>49</v>
      </c>
      <c r="B15" s="2" t="s">
        <v>50</v>
      </c>
      <c r="C15" s="1">
        <v>44964</v>
      </c>
      <c r="D15" s="1">
        <v>45629</v>
      </c>
      <c r="E15" s="2" t="s">
        <v>19</v>
      </c>
      <c r="F15" s="2" t="s">
        <v>14</v>
      </c>
      <c r="G15" s="2" t="s">
        <v>15</v>
      </c>
      <c r="H15">
        <v>5</v>
      </c>
      <c r="I15" s="3">
        <v>38000</v>
      </c>
      <c r="J15">
        <v>0</v>
      </c>
      <c r="K15" s="2" t="s">
        <v>16</v>
      </c>
      <c r="L15" s="4">
        <f ca="1">TODAY()-Table3_2[[#This Row],[Last_Purchase_Date]]</f>
        <v>413</v>
      </c>
      <c r="M15" s="4">
        <f ca="1">DATEDIF(Table3_2[[#This Row],[Join_Date]],TODAY(),"m")</f>
        <v>35</v>
      </c>
      <c r="N15" t="str">
        <f ca="1">IF(Table3_2[[#This Row],[Days_Since_Last_Purchase]]&gt;600,"Churned","Active")</f>
        <v>Active</v>
      </c>
      <c r="O15" t="str">
        <f ca="1">IF(AND(Table3_2[[#This Row],[Days_Since_Last_Purchase]]&gt;400,Table3_2[[#This Row],[Support_Tickets]]&gt;3),"High Risk","Low Risk")</f>
        <v>Low Risk</v>
      </c>
    </row>
    <row r="16" spans="1:15" x14ac:dyDescent="0.3">
      <c r="A16" s="2" t="s">
        <v>51</v>
      </c>
      <c r="B16" s="2" t="s">
        <v>52</v>
      </c>
      <c r="C16" s="1">
        <v>43415</v>
      </c>
      <c r="D16" s="1">
        <v>45127</v>
      </c>
      <c r="E16" s="2" t="s">
        <v>24</v>
      </c>
      <c r="F16" s="2" t="s">
        <v>25</v>
      </c>
      <c r="G16" s="2" t="s">
        <v>15</v>
      </c>
      <c r="H16">
        <v>20</v>
      </c>
      <c r="I16" s="3">
        <v>150000</v>
      </c>
      <c r="J16">
        <v>7</v>
      </c>
      <c r="K16" s="2" t="s">
        <v>26</v>
      </c>
      <c r="L16" s="4">
        <f ca="1">TODAY()-Table3_2[[#This Row],[Last_Purchase_Date]]</f>
        <v>915</v>
      </c>
      <c r="M16" s="4">
        <f ca="1">DATEDIF(Table3_2[[#This Row],[Join_Date]],TODAY(),"m")</f>
        <v>86</v>
      </c>
      <c r="N16" t="str">
        <f ca="1">IF(Table3_2[[#This Row],[Days_Since_Last_Purchase]]&gt;600,"Churned","Active")</f>
        <v>Churned</v>
      </c>
      <c r="O16" t="str">
        <f ca="1">IF(AND(Table3_2[[#This Row],[Days_Since_Last_Purchase]]&gt;400,Table3_2[[#This Row],[Support_Tickets]]&gt;3),"High Risk","Low Risk")</f>
        <v>High Risk</v>
      </c>
    </row>
    <row r="17" spans="1:15" x14ac:dyDescent="0.3">
      <c r="A17" s="2" t="s">
        <v>53</v>
      </c>
      <c r="B17" s="2" t="s">
        <v>54</v>
      </c>
      <c r="C17" s="1">
        <v>44726</v>
      </c>
      <c r="D17" s="1">
        <v>45529</v>
      </c>
      <c r="E17" s="2" t="s">
        <v>13</v>
      </c>
      <c r="F17" s="2" t="s">
        <v>14</v>
      </c>
      <c r="G17" s="2" t="s">
        <v>30</v>
      </c>
      <c r="H17">
        <v>16</v>
      </c>
      <c r="I17" s="3">
        <v>118000</v>
      </c>
      <c r="J17">
        <v>1</v>
      </c>
      <c r="K17" s="2" t="s">
        <v>16</v>
      </c>
      <c r="L17" s="4">
        <f ca="1">TODAY()-Table3_2[[#This Row],[Last_Purchase_Date]]</f>
        <v>513</v>
      </c>
      <c r="M17" s="4">
        <f ca="1">DATEDIF(Table3_2[[#This Row],[Join_Date]],TODAY(),"m")</f>
        <v>43</v>
      </c>
      <c r="N17" t="str">
        <f ca="1">IF(Table3_2[[#This Row],[Days_Since_Last_Purchase]]&gt;600,"Churned","Active")</f>
        <v>Active</v>
      </c>
      <c r="O17" t="str">
        <f ca="1">IF(AND(Table3_2[[#This Row],[Days_Since_Last_Purchase]]&gt;400,Table3_2[[#This Row],[Support_Tickets]]&gt;3),"High Risk","Low Risk")</f>
        <v>Low Risk</v>
      </c>
    </row>
    <row r="18" spans="1:15" x14ac:dyDescent="0.3">
      <c r="A18" s="2" t="s">
        <v>55</v>
      </c>
      <c r="B18" s="2" t="s">
        <v>56</v>
      </c>
      <c r="C18" s="1">
        <v>44226</v>
      </c>
      <c r="D18" s="1">
        <v>45387</v>
      </c>
      <c r="E18" s="2" t="s">
        <v>19</v>
      </c>
      <c r="F18" s="2" t="s">
        <v>20</v>
      </c>
      <c r="G18" s="2" t="s">
        <v>21</v>
      </c>
      <c r="H18">
        <v>29</v>
      </c>
      <c r="I18" s="3">
        <v>410000</v>
      </c>
      <c r="J18">
        <v>2</v>
      </c>
      <c r="K18" s="2" t="s">
        <v>26</v>
      </c>
      <c r="L18" s="4">
        <f ca="1">TODAY()-Table3_2[[#This Row],[Last_Purchase_Date]]</f>
        <v>655</v>
      </c>
      <c r="M18" s="4">
        <f ca="1">DATEDIF(Table3_2[[#This Row],[Join_Date]],TODAY(),"m")</f>
        <v>59</v>
      </c>
      <c r="N18" t="str">
        <f ca="1">IF(Table3_2[[#This Row],[Days_Since_Last_Purchase]]&gt;600,"Churned","Active")</f>
        <v>Churned</v>
      </c>
      <c r="O18" t="str">
        <f ca="1">IF(AND(Table3_2[[#This Row],[Days_Since_Last_Purchase]]&gt;400,Table3_2[[#This Row],[Support_Tickets]]&gt;3),"High Risk","Low Risk")</f>
        <v>Low Risk</v>
      </c>
    </row>
    <row r="19" spans="1:15" x14ac:dyDescent="0.3">
      <c r="A19" s="2" t="s">
        <v>57</v>
      </c>
      <c r="B19" s="2" t="s">
        <v>58</v>
      </c>
      <c r="C19" s="1">
        <v>44096</v>
      </c>
      <c r="D19" s="1">
        <v>45595</v>
      </c>
      <c r="E19" s="2" t="s">
        <v>29</v>
      </c>
      <c r="F19" s="2" t="s">
        <v>14</v>
      </c>
      <c r="G19" s="2" t="s">
        <v>15</v>
      </c>
      <c r="H19">
        <v>11</v>
      </c>
      <c r="I19" s="3">
        <v>83000</v>
      </c>
      <c r="J19">
        <v>0</v>
      </c>
      <c r="K19" s="2" t="s">
        <v>16</v>
      </c>
      <c r="L19" s="4">
        <f ca="1">TODAY()-Table3_2[[#This Row],[Last_Purchase_Date]]</f>
        <v>447</v>
      </c>
      <c r="M19" s="4">
        <f ca="1">DATEDIF(Table3_2[[#This Row],[Join_Date]],TODAY(),"m")</f>
        <v>63</v>
      </c>
      <c r="N19" t="str">
        <f ca="1">IF(Table3_2[[#This Row],[Days_Since_Last_Purchase]]&gt;600,"Churned","Active")</f>
        <v>Active</v>
      </c>
      <c r="O19" t="str">
        <f ca="1">IF(AND(Table3_2[[#This Row],[Days_Since_Last_Purchase]]&gt;400,Table3_2[[#This Row],[Support_Tickets]]&gt;3),"High Risk","Low Risk")</f>
        <v>Low Risk</v>
      </c>
    </row>
    <row r="20" spans="1:15" x14ac:dyDescent="0.3">
      <c r="A20" s="2" t="s">
        <v>59</v>
      </c>
      <c r="B20" s="2" t="s">
        <v>60</v>
      </c>
      <c r="C20" s="1">
        <v>44628</v>
      </c>
      <c r="D20" s="1">
        <v>45209</v>
      </c>
      <c r="E20" s="2" t="s">
        <v>24</v>
      </c>
      <c r="F20" s="2" t="s">
        <v>25</v>
      </c>
      <c r="G20" s="2" t="s">
        <v>15</v>
      </c>
      <c r="H20">
        <v>8</v>
      </c>
      <c r="I20" s="3">
        <v>59000</v>
      </c>
      <c r="J20">
        <v>5</v>
      </c>
      <c r="K20" s="2" t="s">
        <v>26</v>
      </c>
      <c r="L20" s="4">
        <f ca="1">TODAY()-Table3_2[[#This Row],[Last_Purchase_Date]]</f>
        <v>833</v>
      </c>
      <c r="M20" s="4">
        <f ca="1">DATEDIF(Table3_2[[#This Row],[Join_Date]],TODAY(),"m")</f>
        <v>46</v>
      </c>
      <c r="N20" t="str">
        <f ca="1">IF(Table3_2[[#This Row],[Days_Since_Last_Purchase]]&gt;600,"Churned","Active")</f>
        <v>Churned</v>
      </c>
      <c r="O20" t="str">
        <f ca="1">IF(AND(Table3_2[[#This Row],[Days_Since_Last_Purchase]]&gt;400,Table3_2[[#This Row],[Support_Tickets]]&gt;3),"High Risk","Low Risk")</f>
        <v>High Risk</v>
      </c>
    </row>
    <row r="21" spans="1:15" x14ac:dyDescent="0.3">
      <c r="A21" s="2" t="s">
        <v>61</v>
      </c>
      <c r="B21" s="2" t="s">
        <v>62</v>
      </c>
      <c r="C21" s="1">
        <v>45047</v>
      </c>
      <c r="D21" s="1">
        <v>45631</v>
      </c>
      <c r="E21" s="2" t="s">
        <v>13</v>
      </c>
      <c r="F21" s="2" t="s">
        <v>20</v>
      </c>
      <c r="G21" s="2" t="s">
        <v>30</v>
      </c>
      <c r="H21">
        <v>7</v>
      </c>
      <c r="I21" s="3">
        <v>95000</v>
      </c>
      <c r="J21">
        <v>0</v>
      </c>
      <c r="K21" s="2" t="s">
        <v>16</v>
      </c>
      <c r="L21" s="4">
        <f ca="1">TODAY()-Table3_2[[#This Row],[Last_Purchase_Date]]</f>
        <v>411</v>
      </c>
      <c r="M21" s="4">
        <f ca="1">DATEDIF(Table3_2[[#This Row],[Join_Date]],TODAY(),"m")</f>
        <v>32</v>
      </c>
      <c r="N21" t="str">
        <f ca="1">IF(Table3_2[[#This Row],[Days_Since_Last_Purchase]]&gt;600,"Churned","Active")</f>
        <v>Active</v>
      </c>
      <c r="O21" t="str">
        <f ca="1">IF(AND(Table3_2[[#This Row],[Days_Since_Last_Purchase]]&gt;400,Table3_2[[#This Row],[Support_Tickets]]&gt;3),"High Risk","Low Risk")</f>
        <v>Low Risk</v>
      </c>
    </row>
    <row r="23" spans="1:15" x14ac:dyDescent="0.3">
      <c r="A23" s="5" t="s">
        <v>67</v>
      </c>
      <c r="B23" s="8" t="s">
        <v>68</v>
      </c>
      <c r="C23" s="8" t="s">
        <v>69</v>
      </c>
      <c r="D23" s="8" t="s">
        <v>70</v>
      </c>
      <c r="E23" s="10" t="s">
        <v>71</v>
      </c>
      <c r="F23" s="10" t="s">
        <v>72</v>
      </c>
      <c r="G23" s="10" t="s">
        <v>73</v>
      </c>
      <c r="H23" s="8" t="s">
        <v>74</v>
      </c>
    </row>
    <row r="24" spans="1:15" x14ac:dyDescent="0.3">
      <c r="A24" s="6">
        <f>COUNTA(Table3_2[Customer_ID])</f>
        <v>20</v>
      </c>
      <c r="B24" s="7">
        <f ca="1">COUNTIF(Table3_2[Churn Status],"Active")</f>
        <v>10</v>
      </c>
      <c r="C24" s="7">
        <f ca="1">COUNTIF(Table3_2[Churn Status],"churned")</f>
        <v>10</v>
      </c>
      <c r="D24" s="9">
        <f ca="1">C24/A24</f>
        <v>0.5</v>
      </c>
      <c r="E24" s="9">
        <f ca="1">B24/A24</f>
        <v>0.5</v>
      </c>
      <c r="F24" s="11">
        <f>SUM(Table3_2[Total_Revenue])</f>
        <v>4086000</v>
      </c>
      <c r="G24" s="12">
        <f ca="1">SUMIFS(Table3_2[Total_Revenue],Table3_2[Churn Status],"churned")</f>
        <v>2054000</v>
      </c>
      <c r="H24" s="11">
        <f>F24/A24</f>
        <v>204300</v>
      </c>
    </row>
    <row r="25" spans="1:15" x14ac:dyDescent="0.3">
      <c r="A25" s="13" t="s">
        <v>65</v>
      </c>
      <c r="B25" t="s">
        <v>76</v>
      </c>
      <c r="D25" s="13" t="s">
        <v>65</v>
      </c>
      <c r="E25" t="s">
        <v>76</v>
      </c>
      <c r="G25" s="13" t="s">
        <v>65</v>
      </c>
      <c r="H25" t="s">
        <v>76</v>
      </c>
    </row>
    <row r="27" spans="1:15" x14ac:dyDescent="0.3">
      <c r="A27" s="13" t="s">
        <v>79</v>
      </c>
      <c r="B27" t="s">
        <v>77</v>
      </c>
      <c r="D27" s="13" t="s">
        <v>5</v>
      </c>
      <c r="E27" t="s">
        <v>77</v>
      </c>
      <c r="G27" s="13" t="s">
        <v>92</v>
      </c>
      <c r="H27" t="s">
        <v>91</v>
      </c>
    </row>
    <row r="28" spans="1:15" x14ac:dyDescent="0.3">
      <c r="A28" s="14" t="s">
        <v>19</v>
      </c>
      <c r="B28" s="2">
        <v>4</v>
      </c>
      <c r="D28" s="14" t="s">
        <v>14</v>
      </c>
      <c r="E28" s="15">
        <v>0.3</v>
      </c>
      <c r="G28" s="14" t="s">
        <v>14</v>
      </c>
      <c r="H28" s="3">
        <v>557000</v>
      </c>
    </row>
    <row r="29" spans="1:15" x14ac:dyDescent="0.3">
      <c r="A29" s="14" t="s">
        <v>29</v>
      </c>
      <c r="B29" s="2">
        <v>1</v>
      </c>
      <c r="D29" s="14" t="s">
        <v>20</v>
      </c>
      <c r="E29" s="15">
        <v>0.3</v>
      </c>
      <c r="G29" s="14" t="s">
        <v>20</v>
      </c>
      <c r="H29" s="3">
        <v>1135000</v>
      </c>
    </row>
    <row r="30" spans="1:15" x14ac:dyDescent="0.3">
      <c r="A30" s="14" t="s">
        <v>24</v>
      </c>
      <c r="B30" s="2">
        <v>3</v>
      </c>
      <c r="D30" s="14" t="s">
        <v>25</v>
      </c>
      <c r="E30" s="15">
        <v>0.4</v>
      </c>
      <c r="G30" s="14" t="s">
        <v>25</v>
      </c>
      <c r="H30" s="3">
        <v>362000</v>
      </c>
    </row>
    <row r="31" spans="1:15" x14ac:dyDescent="0.3">
      <c r="A31" s="14" t="s">
        <v>13</v>
      </c>
      <c r="B31" s="2">
        <v>2</v>
      </c>
      <c r="D31" s="14" t="s">
        <v>75</v>
      </c>
      <c r="E31" s="15">
        <v>1</v>
      </c>
      <c r="G31" s="14" t="s">
        <v>75</v>
      </c>
      <c r="H31" s="3">
        <v>2054000</v>
      </c>
    </row>
    <row r="32" spans="1:15" x14ac:dyDescent="0.3">
      <c r="A32" s="14" t="s">
        <v>75</v>
      </c>
      <c r="B32" s="2">
        <v>10</v>
      </c>
    </row>
    <row r="34" spans="3:4" x14ac:dyDescent="0.3">
      <c r="C34" s="13" t="s">
        <v>65</v>
      </c>
      <c r="D34" t="s">
        <v>78</v>
      </c>
    </row>
    <row r="36" spans="3:4" x14ac:dyDescent="0.3">
      <c r="C36" s="13" t="s">
        <v>93</v>
      </c>
      <c r="D36" t="s">
        <v>94</v>
      </c>
    </row>
    <row r="37" spans="3:4" x14ac:dyDescent="0.3">
      <c r="C37" s="16" t="s">
        <v>85</v>
      </c>
      <c r="D37" s="2">
        <v>1</v>
      </c>
    </row>
    <row r="38" spans="3:4" x14ac:dyDescent="0.3">
      <c r="C38" s="16" t="s">
        <v>86</v>
      </c>
      <c r="D38" s="2">
        <v>1</v>
      </c>
    </row>
    <row r="39" spans="3:4" x14ac:dyDescent="0.3">
      <c r="C39" s="16" t="s">
        <v>87</v>
      </c>
      <c r="D39" s="2">
        <v>1</v>
      </c>
    </row>
    <row r="40" spans="3:4" x14ac:dyDescent="0.3">
      <c r="C40" s="16" t="s">
        <v>88</v>
      </c>
      <c r="D40" s="2">
        <v>1</v>
      </c>
    </row>
    <row r="41" spans="3:4" x14ac:dyDescent="0.3">
      <c r="C41" s="16" t="s">
        <v>89</v>
      </c>
      <c r="D41" s="2">
        <v>1</v>
      </c>
    </row>
    <row r="42" spans="3:4" x14ac:dyDescent="0.3">
      <c r="C42" s="16" t="s">
        <v>80</v>
      </c>
      <c r="D42" s="2">
        <v>1</v>
      </c>
    </row>
    <row r="43" spans="3:4" x14ac:dyDescent="0.3">
      <c r="C43" s="16" t="s">
        <v>81</v>
      </c>
      <c r="D43" s="2">
        <v>2</v>
      </c>
    </row>
    <row r="44" spans="3:4" x14ac:dyDescent="0.3">
      <c r="C44" s="16" t="s">
        <v>82</v>
      </c>
      <c r="D44" s="2">
        <v>2</v>
      </c>
    </row>
    <row r="45" spans="3:4" x14ac:dyDescent="0.3">
      <c r="C45" s="16" t="s">
        <v>83</v>
      </c>
      <c r="D45" s="2">
        <v>4</v>
      </c>
    </row>
    <row r="46" spans="3:4" x14ac:dyDescent="0.3">
      <c r="C46" s="16" t="s">
        <v>90</v>
      </c>
      <c r="D46" s="2">
        <v>2</v>
      </c>
    </row>
    <row r="47" spans="3:4" x14ac:dyDescent="0.3">
      <c r="C47" s="16" t="s">
        <v>84</v>
      </c>
      <c r="D47" s="2">
        <v>4</v>
      </c>
    </row>
    <row r="48" spans="3:4" x14ac:dyDescent="0.3">
      <c r="C48" s="16" t="s">
        <v>75</v>
      </c>
      <c r="D48" s="2">
        <v>20</v>
      </c>
    </row>
  </sheetData>
  <pageMargins left="0.7" right="0.7" top="0.75" bottom="0.75" header="0.3" footer="0.3"/>
  <pageSetup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FEDB-BF6C-42A7-A102-EBEDB580D1B8}">
  <dimension ref="A1:R40"/>
  <sheetViews>
    <sheetView workbookViewId="0">
      <selection activeCell="T35" sqref="T35"/>
    </sheetView>
  </sheetViews>
  <sheetFormatPr defaultRowHeight="14.4" x14ac:dyDescent="0.3"/>
  <cols>
    <col min="1" max="1" width="1.109375" customWidth="1"/>
    <col min="4" max="4" width="6.21875" customWidth="1"/>
    <col min="5" max="5" width="2.21875" customWidth="1"/>
    <col min="6" max="6" width="3" customWidth="1"/>
    <col min="8" max="8" width="13" customWidth="1"/>
    <col min="9" max="9" width="5.33203125" customWidth="1"/>
    <col min="10" max="10" width="3.77734375" customWidth="1"/>
    <col min="11" max="11" width="7.21875" customWidth="1"/>
    <col min="14" max="14" width="5.109375" customWidth="1"/>
    <col min="15" max="15" width="7.109375" customWidth="1"/>
    <col min="18" max="18" width="7.109375" customWidth="1"/>
  </cols>
  <sheetData>
    <row r="1" spans="1:18" ht="15.6" customHeight="1" x14ac:dyDescent="0.3">
      <c r="A1" s="17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4.4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6" customHeight="1" x14ac:dyDescent="0.3"/>
    <row r="39" spans="2:11" ht="28.8" x14ac:dyDescent="0.3">
      <c r="B39" s="18" t="str" cm="1">
        <f t="array" ref="B39:B40">Clean_data!A23:A24</f>
        <v>Total Customer</v>
      </c>
      <c r="C39" s="18"/>
      <c r="D39" s="18" t="str" cm="1">
        <f t="array" aca="1" ref="D39:D40" ca="1">Clean_data!D23:D24</f>
        <v>Churn Rate %</v>
      </c>
      <c r="E39" s="18"/>
      <c r="F39" s="18" t="str" cm="1">
        <f t="array" aca="1" ref="F39:F40" ca="1">Clean_data!E23:E24</f>
        <v>Retention Rate %</v>
      </c>
      <c r="G39" s="18"/>
      <c r="H39" s="18" t="str" cm="1">
        <f t="array" aca="1" ref="H39:H40" ca="1">Clean_data!G23:G24</f>
        <v>Revenue Lost Due to Churn</v>
      </c>
      <c r="I39" s="18"/>
      <c r="J39" s="18"/>
      <c r="K39" s="18"/>
    </row>
    <row r="40" spans="2:11" x14ac:dyDescent="0.3">
      <c r="B40" s="18">
        <v>20</v>
      </c>
      <c r="C40" s="18"/>
      <c r="D40" s="15">
        <f ca="1"/>
        <v>0.5</v>
      </c>
      <c r="E40" s="18"/>
      <c r="F40" s="19">
        <f ca="1"/>
        <v>0.5</v>
      </c>
      <c r="G40" s="18"/>
      <c r="H40" s="20">
        <f ca="1"/>
        <v>2054000</v>
      </c>
      <c r="I40" s="18"/>
      <c r="J40" s="18"/>
      <c r="K40" s="18"/>
    </row>
  </sheetData>
  <mergeCells count="1">
    <mergeCell ref="A1:R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B485-2844-4D53-BB86-8C1FE4B47011}">
  <dimension ref="A1:H17"/>
  <sheetViews>
    <sheetView tabSelected="1" workbookViewId="0">
      <selection activeCell="G15" sqref="G15"/>
    </sheetView>
  </sheetViews>
  <sheetFormatPr defaultRowHeight="14.4" x14ac:dyDescent="0.3"/>
  <sheetData>
    <row r="1" spans="1:8" ht="14.4" customHeight="1" x14ac:dyDescent="0.3">
      <c r="A1" s="22" t="s">
        <v>96</v>
      </c>
      <c r="B1" s="23"/>
      <c r="C1" s="23"/>
      <c r="D1" s="23"/>
      <c r="E1" s="23"/>
      <c r="F1" s="23"/>
      <c r="G1" s="21"/>
      <c r="H1" s="21"/>
    </row>
    <row r="2" spans="1:8" x14ac:dyDescent="0.3">
      <c r="A2" s="23"/>
      <c r="B2" s="23"/>
      <c r="C2" s="23"/>
      <c r="D2" s="23"/>
      <c r="E2" s="23"/>
      <c r="F2" s="23"/>
      <c r="G2" s="21"/>
      <c r="H2" s="21"/>
    </row>
    <row r="3" spans="1:8" x14ac:dyDescent="0.3">
      <c r="A3" s="24" t="s">
        <v>97</v>
      </c>
      <c r="B3" s="24"/>
      <c r="C3" s="24"/>
      <c r="D3" s="24"/>
      <c r="E3" s="24"/>
      <c r="F3" s="24"/>
      <c r="G3" s="21"/>
      <c r="H3" s="21"/>
    </row>
    <row r="4" spans="1:8" x14ac:dyDescent="0.3">
      <c r="A4" s="24"/>
      <c r="B4" s="24"/>
      <c r="C4" s="24"/>
      <c r="D4" s="24"/>
      <c r="E4" s="24"/>
      <c r="F4" s="24"/>
      <c r="G4" s="21"/>
      <c r="H4" s="21"/>
    </row>
    <row r="5" spans="1:8" x14ac:dyDescent="0.3">
      <c r="A5" s="24"/>
      <c r="B5" s="24"/>
      <c r="C5" s="24"/>
      <c r="D5" s="24"/>
      <c r="E5" s="24"/>
      <c r="F5" s="24"/>
      <c r="G5" s="21"/>
      <c r="H5" s="21"/>
    </row>
    <row r="6" spans="1:8" x14ac:dyDescent="0.3">
      <c r="A6" s="24"/>
      <c r="B6" s="24"/>
      <c r="C6" s="24"/>
      <c r="D6" s="24"/>
      <c r="E6" s="24"/>
      <c r="F6" s="24"/>
      <c r="G6" s="21"/>
      <c r="H6" s="21"/>
    </row>
    <row r="7" spans="1:8" x14ac:dyDescent="0.3">
      <c r="A7" s="24"/>
      <c r="B7" s="24"/>
      <c r="C7" s="24"/>
      <c r="D7" s="24"/>
      <c r="E7" s="24"/>
      <c r="F7" s="24"/>
      <c r="G7" s="21"/>
      <c r="H7" s="21"/>
    </row>
    <row r="8" spans="1:8" x14ac:dyDescent="0.3">
      <c r="A8" s="24"/>
      <c r="B8" s="24"/>
      <c r="C8" s="24"/>
      <c r="D8" s="24"/>
      <c r="E8" s="24"/>
      <c r="F8" s="24"/>
      <c r="G8" s="21"/>
      <c r="H8" s="21"/>
    </row>
    <row r="9" spans="1:8" x14ac:dyDescent="0.3">
      <c r="A9" s="24"/>
      <c r="B9" s="24"/>
      <c r="C9" s="24"/>
      <c r="D9" s="24"/>
      <c r="E9" s="24"/>
      <c r="F9" s="24"/>
      <c r="G9" s="21"/>
      <c r="H9" s="21"/>
    </row>
    <row r="10" spans="1:8" x14ac:dyDescent="0.3">
      <c r="A10" s="24"/>
      <c r="B10" s="24"/>
      <c r="C10" s="24"/>
      <c r="D10" s="24"/>
      <c r="E10" s="24"/>
      <c r="F10" s="24"/>
      <c r="G10" s="21"/>
      <c r="H10" s="21"/>
    </row>
    <row r="11" spans="1:8" x14ac:dyDescent="0.3">
      <c r="A11" s="24"/>
      <c r="B11" s="24"/>
      <c r="C11" s="24"/>
      <c r="D11" s="24"/>
      <c r="E11" s="24"/>
      <c r="F11" s="24"/>
      <c r="G11" s="21"/>
      <c r="H11" s="21"/>
    </row>
    <row r="12" spans="1:8" x14ac:dyDescent="0.3">
      <c r="A12" s="21"/>
      <c r="B12" s="21"/>
      <c r="C12" s="21"/>
      <c r="D12" s="21"/>
      <c r="E12" s="21"/>
      <c r="F12" s="21"/>
      <c r="G12" s="21"/>
      <c r="H12" s="21"/>
    </row>
    <row r="13" spans="1:8" x14ac:dyDescent="0.3">
      <c r="A13" s="21"/>
      <c r="B13" s="21"/>
      <c r="C13" s="21"/>
      <c r="D13" s="21"/>
      <c r="E13" s="21"/>
      <c r="F13" s="21"/>
      <c r="G13" s="21"/>
      <c r="H13" s="21"/>
    </row>
    <row r="14" spans="1:8" x14ac:dyDescent="0.3">
      <c r="A14" s="21"/>
      <c r="B14" s="21"/>
      <c r="C14" s="21"/>
      <c r="D14" s="21"/>
      <c r="E14" s="21"/>
      <c r="F14" s="21"/>
      <c r="G14" s="21"/>
      <c r="H14" s="21"/>
    </row>
    <row r="15" spans="1:8" x14ac:dyDescent="0.3">
      <c r="A15" s="21"/>
      <c r="B15" s="21"/>
      <c r="C15" s="21"/>
      <c r="D15" s="21"/>
      <c r="E15" s="21"/>
      <c r="F15" s="21"/>
      <c r="G15" s="21"/>
      <c r="H15" s="21"/>
    </row>
    <row r="16" spans="1:8" x14ac:dyDescent="0.3">
      <c r="A16" s="21"/>
      <c r="B16" s="21"/>
      <c r="C16" s="21"/>
      <c r="D16" s="21"/>
      <c r="E16" s="21"/>
      <c r="F16" s="21"/>
      <c r="G16" s="21"/>
      <c r="H16" s="21"/>
    </row>
    <row r="17" spans="1:8" x14ac:dyDescent="0.3">
      <c r="A17" s="21"/>
      <c r="B17" s="21"/>
      <c r="C17" s="21"/>
      <c r="D17" s="21"/>
      <c r="E17" s="21"/>
      <c r="F17" s="21"/>
      <c r="G17" s="21"/>
      <c r="H17" s="21"/>
    </row>
  </sheetData>
  <mergeCells count="2">
    <mergeCell ref="A1:F2"/>
    <mergeCell ref="A3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2858-4A20-4201-B45A-A61508A077A0}">
  <dimension ref="A1:K21"/>
  <sheetViews>
    <sheetView workbookViewId="0">
      <selection activeCell="F27" sqref="F2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44576</v>
      </c>
      <c r="D2" s="1">
        <v>45606</v>
      </c>
      <c r="E2" t="s">
        <v>13</v>
      </c>
      <c r="F2" t="s">
        <v>14</v>
      </c>
      <c r="G2" t="s">
        <v>15</v>
      </c>
      <c r="H2">
        <v>18</v>
      </c>
      <c r="I2">
        <v>125000</v>
      </c>
      <c r="J2">
        <v>1</v>
      </c>
      <c r="K2" t="s">
        <v>16</v>
      </c>
    </row>
    <row r="3" spans="1:11" x14ac:dyDescent="0.3">
      <c r="A3" t="s">
        <v>17</v>
      </c>
      <c r="B3" t="s">
        <v>18</v>
      </c>
      <c r="C3" s="1">
        <v>44397</v>
      </c>
      <c r="D3" s="1">
        <v>45413</v>
      </c>
      <c r="E3" t="s">
        <v>19</v>
      </c>
      <c r="F3" t="s">
        <v>20</v>
      </c>
      <c r="G3" t="s">
        <v>21</v>
      </c>
      <c r="H3">
        <v>32</v>
      </c>
      <c r="I3">
        <v>420000</v>
      </c>
      <c r="J3">
        <v>0</v>
      </c>
      <c r="K3" t="s">
        <v>16</v>
      </c>
    </row>
    <row r="4" spans="1:11" x14ac:dyDescent="0.3">
      <c r="A4" t="s">
        <v>22</v>
      </c>
      <c r="B4" t="s">
        <v>23</v>
      </c>
      <c r="C4" s="1">
        <v>43901</v>
      </c>
      <c r="D4" s="1">
        <v>45332</v>
      </c>
      <c r="E4" t="s">
        <v>24</v>
      </c>
      <c r="F4" t="s">
        <v>25</v>
      </c>
      <c r="G4" t="s">
        <v>15</v>
      </c>
      <c r="H4">
        <v>12</v>
      </c>
      <c r="I4">
        <v>89000</v>
      </c>
      <c r="J4">
        <v>4</v>
      </c>
      <c r="K4" t="s">
        <v>26</v>
      </c>
    </row>
    <row r="5" spans="1:11" x14ac:dyDescent="0.3">
      <c r="A5" t="s">
        <v>27</v>
      </c>
      <c r="B5" t="s">
        <v>28</v>
      </c>
      <c r="C5" s="1">
        <v>43713</v>
      </c>
      <c r="D5" s="1">
        <v>45275</v>
      </c>
      <c r="E5" t="s">
        <v>29</v>
      </c>
      <c r="F5" t="s">
        <v>14</v>
      </c>
      <c r="G5" t="s">
        <v>30</v>
      </c>
      <c r="H5">
        <v>25</v>
      </c>
      <c r="I5">
        <v>210000</v>
      </c>
      <c r="J5">
        <v>2</v>
      </c>
      <c r="K5" t="s">
        <v>26</v>
      </c>
    </row>
    <row r="6" spans="1:11" x14ac:dyDescent="0.3">
      <c r="A6" t="s">
        <v>31</v>
      </c>
      <c r="B6" t="s">
        <v>32</v>
      </c>
      <c r="C6" s="1">
        <v>44866</v>
      </c>
      <c r="D6" s="1">
        <v>45587</v>
      </c>
      <c r="E6" t="s">
        <v>13</v>
      </c>
      <c r="F6" t="s">
        <v>20</v>
      </c>
      <c r="G6" t="s">
        <v>21</v>
      </c>
      <c r="H6">
        <v>40</v>
      </c>
      <c r="I6">
        <v>560000</v>
      </c>
      <c r="J6">
        <v>0</v>
      </c>
      <c r="K6" t="s">
        <v>16</v>
      </c>
    </row>
    <row r="7" spans="1:11" x14ac:dyDescent="0.3">
      <c r="A7" t="s">
        <v>33</v>
      </c>
      <c r="B7" t="s">
        <v>34</v>
      </c>
      <c r="C7" s="1">
        <v>44244</v>
      </c>
      <c r="D7" s="1">
        <v>45187</v>
      </c>
      <c r="E7" t="s">
        <v>19</v>
      </c>
      <c r="F7" t="s">
        <v>25</v>
      </c>
      <c r="G7" t="s">
        <v>15</v>
      </c>
      <c r="H7">
        <v>9</v>
      </c>
      <c r="I7">
        <v>64000</v>
      </c>
      <c r="J7">
        <v>5</v>
      </c>
      <c r="K7" t="s">
        <v>26</v>
      </c>
    </row>
    <row r="8" spans="1:11" x14ac:dyDescent="0.3">
      <c r="A8" t="s">
        <v>35</v>
      </c>
      <c r="B8" t="s">
        <v>36</v>
      </c>
      <c r="C8" s="1">
        <v>44938</v>
      </c>
      <c r="D8" s="1">
        <v>45627</v>
      </c>
      <c r="E8" t="s">
        <v>24</v>
      </c>
      <c r="F8" t="s">
        <v>14</v>
      </c>
      <c r="G8" t="s">
        <v>15</v>
      </c>
      <c r="H8">
        <v>6</v>
      </c>
      <c r="I8">
        <v>45000</v>
      </c>
      <c r="J8">
        <v>0</v>
      </c>
      <c r="K8" t="s">
        <v>16</v>
      </c>
    </row>
    <row r="9" spans="1:11" x14ac:dyDescent="0.3">
      <c r="A9" t="s">
        <v>37</v>
      </c>
      <c r="B9" t="s">
        <v>38</v>
      </c>
      <c r="C9" s="1">
        <v>44012</v>
      </c>
      <c r="D9" s="1">
        <v>45311</v>
      </c>
      <c r="E9" t="s">
        <v>13</v>
      </c>
      <c r="F9" t="s">
        <v>20</v>
      </c>
      <c r="G9" t="s">
        <v>30</v>
      </c>
      <c r="H9">
        <v>22</v>
      </c>
      <c r="I9">
        <v>305000</v>
      </c>
      <c r="J9">
        <v>3</v>
      </c>
      <c r="K9" t="s">
        <v>26</v>
      </c>
    </row>
    <row r="10" spans="1:11" x14ac:dyDescent="0.3">
      <c r="A10" t="s">
        <v>39</v>
      </c>
      <c r="B10" t="s">
        <v>40</v>
      </c>
      <c r="C10" s="1">
        <v>44478</v>
      </c>
      <c r="D10" s="1">
        <v>45624</v>
      </c>
      <c r="E10" t="s">
        <v>29</v>
      </c>
      <c r="F10" t="s">
        <v>25</v>
      </c>
      <c r="G10" t="s">
        <v>15</v>
      </c>
      <c r="H10">
        <v>14</v>
      </c>
      <c r="I10">
        <v>98000</v>
      </c>
      <c r="J10">
        <v>2</v>
      </c>
      <c r="K10" t="s">
        <v>16</v>
      </c>
    </row>
    <row r="11" spans="1:11" x14ac:dyDescent="0.3">
      <c r="A11" t="s">
        <v>41</v>
      </c>
      <c r="B11" t="s">
        <v>42</v>
      </c>
      <c r="C11" s="1">
        <v>43580</v>
      </c>
      <c r="D11" s="1">
        <v>45143</v>
      </c>
      <c r="E11" t="s">
        <v>19</v>
      </c>
      <c r="F11" t="s">
        <v>14</v>
      </c>
      <c r="G11" t="s">
        <v>21</v>
      </c>
      <c r="H11">
        <v>30</v>
      </c>
      <c r="I11">
        <v>275000</v>
      </c>
      <c r="J11">
        <v>6</v>
      </c>
      <c r="K11" t="s">
        <v>26</v>
      </c>
    </row>
    <row r="12" spans="1:11" x14ac:dyDescent="0.3">
      <c r="A12" t="s">
        <v>43</v>
      </c>
      <c r="B12" t="s">
        <v>44</v>
      </c>
      <c r="C12" s="1">
        <v>44791</v>
      </c>
      <c r="D12" s="1">
        <v>45580</v>
      </c>
      <c r="E12" t="s">
        <v>24</v>
      </c>
      <c r="F12" t="s">
        <v>20</v>
      </c>
      <c r="G12" t="s">
        <v>21</v>
      </c>
      <c r="H12">
        <v>28</v>
      </c>
      <c r="I12">
        <v>390000</v>
      </c>
      <c r="J12">
        <v>1</v>
      </c>
      <c r="K12" t="s">
        <v>16</v>
      </c>
    </row>
    <row r="13" spans="1:11" x14ac:dyDescent="0.3">
      <c r="A13" t="s">
        <v>45</v>
      </c>
      <c r="B13" t="s">
        <v>46</v>
      </c>
      <c r="C13" s="1">
        <v>44533</v>
      </c>
      <c r="D13" s="1">
        <v>45363</v>
      </c>
      <c r="E13" t="s">
        <v>13</v>
      </c>
      <c r="F13" t="s">
        <v>14</v>
      </c>
      <c r="G13" t="s">
        <v>15</v>
      </c>
      <c r="H13">
        <v>10</v>
      </c>
      <c r="I13">
        <v>72000</v>
      </c>
      <c r="J13">
        <v>4</v>
      </c>
      <c r="K13" t="s">
        <v>26</v>
      </c>
    </row>
    <row r="14" spans="1:11" x14ac:dyDescent="0.3">
      <c r="A14" t="s">
        <v>47</v>
      </c>
      <c r="B14" t="s">
        <v>48</v>
      </c>
      <c r="C14" s="1">
        <v>43970</v>
      </c>
      <c r="D14" s="1">
        <v>45536</v>
      </c>
      <c r="E14" t="s">
        <v>29</v>
      </c>
      <c r="F14" t="s">
        <v>20</v>
      </c>
      <c r="G14" t="s">
        <v>30</v>
      </c>
      <c r="H14">
        <v>35</v>
      </c>
      <c r="I14">
        <v>480000</v>
      </c>
      <c r="J14">
        <v>0</v>
      </c>
      <c r="K14" t="s">
        <v>16</v>
      </c>
    </row>
    <row r="15" spans="1:11" x14ac:dyDescent="0.3">
      <c r="A15" t="s">
        <v>49</v>
      </c>
      <c r="B15" t="s">
        <v>50</v>
      </c>
      <c r="C15" s="1">
        <v>44964</v>
      </c>
      <c r="D15" s="1">
        <v>45629</v>
      </c>
      <c r="E15" t="s">
        <v>19</v>
      </c>
      <c r="F15" t="s">
        <v>14</v>
      </c>
      <c r="G15" t="s">
        <v>15</v>
      </c>
      <c r="H15">
        <v>5</v>
      </c>
      <c r="I15">
        <v>38000</v>
      </c>
      <c r="J15">
        <v>0</v>
      </c>
      <c r="K15" t="s">
        <v>16</v>
      </c>
    </row>
    <row r="16" spans="1:11" x14ac:dyDescent="0.3">
      <c r="A16" t="s">
        <v>51</v>
      </c>
      <c r="B16" t="s">
        <v>52</v>
      </c>
      <c r="C16" s="1">
        <v>43415</v>
      </c>
      <c r="D16" s="1">
        <v>45127</v>
      </c>
      <c r="E16" t="s">
        <v>24</v>
      </c>
      <c r="F16" t="s">
        <v>25</v>
      </c>
      <c r="G16" t="s">
        <v>15</v>
      </c>
      <c r="H16">
        <v>20</v>
      </c>
      <c r="I16">
        <v>150000</v>
      </c>
      <c r="J16">
        <v>7</v>
      </c>
      <c r="K16" t="s">
        <v>26</v>
      </c>
    </row>
    <row r="17" spans="1:11" x14ac:dyDescent="0.3">
      <c r="A17" t="s">
        <v>53</v>
      </c>
      <c r="B17" t="s">
        <v>54</v>
      </c>
      <c r="C17" s="1">
        <v>44726</v>
      </c>
      <c r="D17" s="1">
        <v>45529</v>
      </c>
      <c r="E17" t="s">
        <v>13</v>
      </c>
      <c r="F17" t="s">
        <v>14</v>
      </c>
      <c r="G17" t="s">
        <v>30</v>
      </c>
      <c r="H17">
        <v>16</v>
      </c>
      <c r="I17">
        <v>118000</v>
      </c>
      <c r="J17">
        <v>1</v>
      </c>
      <c r="K17" t="s">
        <v>16</v>
      </c>
    </row>
    <row r="18" spans="1:11" x14ac:dyDescent="0.3">
      <c r="A18" t="s">
        <v>55</v>
      </c>
      <c r="B18" t="s">
        <v>56</v>
      </c>
      <c r="C18" s="1">
        <v>44226</v>
      </c>
      <c r="D18" s="1">
        <v>45387</v>
      </c>
      <c r="E18" t="s">
        <v>19</v>
      </c>
      <c r="F18" t="s">
        <v>20</v>
      </c>
      <c r="G18" t="s">
        <v>21</v>
      </c>
      <c r="H18">
        <v>29</v>
      </c>
      <c r="I18">
        <v>410000</v>
      </c>
      <c r="J18">
        <v>2</v>
      </c>
      <c r="K18" t="s">
        <v>26</v>
      </c>
    </row>
    <row r="19" spans="1:11" x14ac:dyDescent="0.3">
      <c r="A19" t="s">
        <v>57</v>
      </c>
      <c r="B19" t="s">
        <v>58</v>
      </c>
      <c r="C19" s="1">
        <v>44096</v>
      </c>
      <c r="D19" s="1">
        <v>45595</v>
      </c>
      <c r="E19" t="s">
        <v>29</v>
      </c>
      <c r="F19" t="s">
        <v>14</v>
      </c>
      <c r="G19" t="s">
        <v>15</v>
      </c>
      <c r="H19">
        <v>11</v>
      </c>
      <c r="I19">
        <v>83000</v>
      </c>
      <c r="J19">
        <v>0</v>
      </c>
      <c r="K19" t="s">
        <v>16</v>
      </c>
    </row>
    <row r="20" spans="1:11" x14ac:dyDescent="0.3">
      <c r="A20" t="s">
        <v>59</v>
      </c>
      <c r="B20" t="s">
        <v>60</v>
      </c>
      <c r="C20" s="1">
        <v>44628</v>
      </c>
      <c r="D20" s="1">
        <v>45209</v>
      </c>
      <c r="E20" t="s">
        <v>24</v>
      </c>
      <c r="F20" t="s">
        <v>25</v>
      </c>
      <c r="G20" t="s">
        <v>15</v>
      </c>
      <c r="H20">
        <v>8</v>
      </c>
      <c r="I20">
        <v>59000</v>
      </c>
      <c r="J20">
        <v>5</v>
      </c>
      <c r="K20" t="s">
        <v>26</v>
      </c>
    </row>
    <row r="21" spans="1:11" x14ac:dyDescent="0.3">
      <c r="A21" t="s">
        <v>61</v>
      </c>
      <c r="B21" t="s">
        <v>62</v>
      </c>
      <c r="C21" s="1">
        <v>45047</v>
      </c>
      <c r="D21" s="1">
        <v>45631</v>
      </c>
      <c r="E21" t="s">
        <v>13</v>
      </c>
      <c r="F21" t="s">
        <v>20</v>
      </c>
      <c r="G21" t="s">
        <v>30</v>
      </c>
      <c r="H21">
        <v>7</v>
      </c>
      <c r="I21">
        <v>95000</v>
      </c>
      <c r="J21">
        <v>0</v>
      </c>
      <c r="K2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8E3581-744E-43ED-AA50-4E2E9B8EB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Clean_data</vt:lpstr>
      <vt:lpstr>Dasboard</vt:lpstr>
      <vt:lpstr>Business_Questions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</dc:creator>
  <cp:lastModifiedBy>USAMA</cp:lastModifiedBy>
  <dcterms:created xsi:type="dcterms:W3CDTF">2026-01-16T18:02:12Z</dcterms:created>
  <dcterms:modified xsi:type="dcterms:W3CDTF">2026-01-19T22:38:48Z</dcterms:modified>
</cp:coreProperties>
</file>